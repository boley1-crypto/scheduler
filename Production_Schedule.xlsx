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Master Schedul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Queue — All" sheetId="4" state="visible" r:id="rId4"/>
    <sheet xmlns:r="http://schemas.openxmlformats.org/officeDocument/2006/relationships" name="Queue — Profiling" sheetId="5" state="visible" r:id="rId5"/>
    <sheet xmlns:r="http://schemas.openxmlformats.org/officeDocument/2006/relationships" name="Queue — Saw" sheetId="6" state="visible" r:id="rId6"/>
    <sheet xmlns:r="http://schemas.openxmlformats.org/officeDocument/2006/relationships" name="Queue — Machining 1" sheetId="7" state="visible" r:id="rId7"/>
    <sheet xmlns:r="http://schemas.openxmlformats.org/officeDocument/2006/relationships" name="Queue — Machining 2" sheetId="8" state="visible" r:id="rId8"/>
    <sheet xmlns:r="http://schemas.openxmlformats.org/officeDocument/2006/relationships" name="Queue — Fabrication 1" sheetId="9" state="visible" r:id="rId9"/>
    <sheet xmlns:r="http://schemas.openxmlformats.org/officeDocument/2006/relationships" name="Queue — Fabrication 2" sheetId="10" state="visible" r:id="rId10"/>
    <sheet xmlns:r="http://schemas.openxmlformats.org/officeDocument/2006/relationships" name="Queue — Weld 1" sheetId="11" state="visible" r:id="rId11"/>
    <sheet xmlns:r="http://schemas.openxmlformats.org/officeDocument/2006/relationships" name="Queue — Weld 2" sheetId="12" state="visible" r:id="rId12"/>
    <sheet xmlns:r="http://schemas.openxmlformats.org/officeDocument/2006/relationships" name="Queue — Weld 3" sheetId="13" state="visible" r:id="rId13"/>
    <sheet xmlns:r="http://schemas.openxmlformats.org/officeDocument/2006/relationships" name="Queue — Blast" sheetId="14" state="visible" r:id="rId14"/>
    <sheet xmlns:r="http://schemas.openxmlformats.org/officeDocument/2006/relationships" name="Queue — Paint" sheetId="15" state="visible" r:id="rId15"/>
    <sheet xmlns:r="http://schemas.openxmlformats.org/officeDocument/2006/relationships" name="Queue — Assembly 1" sheetId="16" state="visible" r:id="rId16"/>
    <sheet xmlns:r="http://schemas.openxmlformats.org/officeDocument/2006/relationships" name="Queue — Assembly 2" sheetId="17" state="visible" r:id="rId17"/>
  </sheets>
  <definedNames>
    <definedName name="WorkCentres">Config!$A$2:$A$9</definedName>
    <definedName name="Stations">Config!$B$2:$B$14</definedName>
    <definedName name="Priorities">Config!$C$2:$C$5</definedName>
    <definedName name="Statuses">Config!$D$2:$D$6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2">
    <font>
      <name val="Calibri"/>
      <family val="2"/>
      <color theme="1"/>
      <sz val="11"/>
      <scheme val="minor"/>
    </font>
    <font>
      <b val="1"/>
    </font>
    <font>
      <b val="1"/>
      <strike val="0"/>
      <color rgb="00FFFFFF"/>
      <sz val="14"/>
    </font>
    <font>
      <i val="1"/>
      <strike val="0"/>
      <color rgb="00FFFFFF"/>
      <sz val="11"/>
    </font>
    <font>
      <b val="1"/>
      <strike val="0"/>
      <color rgb="001F3864"/>
      <sz val="11"/>
    </font>
    <font>
      <b val="1"/>
      <strike val="0"/>
      <color rgb="00FFFFFF"/>
      <sz val="11"/>
    </font>
    <font>
      <b val="1"/>
      <strike val="0"/>
      <color rgb="00FFFFFF"/>
      <sz val="10"/>
    </font>
    <font>
      <b val="1"/>
      <strike val="0"/>
      <color rgb="00FFFFFF"/>
      <sz val="16"/>
    </font>
    <font>
      <i val="1"/>
      <strike val="0"/>
      <color rgb="001F3864"/>
      <sz val="11"/>
    </font>
    <font>
      <b val="1"/>
      <color rgb="002E5E9E"/>
      <sz val="22"/>
    </font>
    <font>
      <b val="1"/>
      <color rgb="00C00000"/>
      <sz val="22"/>
    </font>
    <font>
      <b val="1"/>
      <color rgb="00375623"/>
      <sz val="22"/>
    </font>
    <font>
      <b val="1"/>
      <color rgb="001F3864"/>
      <sz val="22"/>
    </font>
    <font>
      <b val="1"/>
      <strike val="0"/>
      <color rgb="00000000"/>
      <sz val="11"/>
    </font>
    <font>
      <i val="1"/>
      <strike val="0"/>
      <color rgb="00595959"/>
      <sz val="11"/>
    </font>
    <font>
      <b val="1"/>
      <strike val="0"/>
      <color rgb="00FFFFFF"/>
      <sz val="9"/>
    </font>
    <font>
      <b val="1"/>
      <color rgb="002F5496"/>
      <sz val="22"/>
    </font>
    <font>
      <b val="1"/>
      <color rgb="00843C0C"/>
      <sz val="22"/>
    </font>
    <font>
      <b val="1"/>
      <color rgb="007030A0"/>
      <sz val="22"/>
    </font>
    <font>
      <b val="1"/>
      <color rgb="00595959"/>
      <sz val="22"/>
    </font>
    <font>
      <b val="1"/>
      <color rgb="000070C0"/>
      <sz val="22"/>
    </font>
    <font>
      <b val="1"/>
      <color rgb="00404040"/>
      <sz val="22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9E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0070C0"/>
      </patternFill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EF2F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13" borderId="0" pivotButton="0" quotePrefix="0" xfId="0"/>
    <xf numFmtId="0" fontId="0" fillId="8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0" fillId="14" borderId="0" pivotButton="0" quotePrefix="0" xfId="0"/>
    <xf numFmtId="9" fontId="0" fillId="14" borderId="0" pivotButton="0" quotePrefix="0" xfId="0"/>
    <xf numFmtId="0" fontId="13" fillId="0" borderId="0" pivotButton="0" quotePrefix="0" xfId="0"/>
    <xf numFmtId="0" fontId="2" fillId="1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9" fillId="12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21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1">
    <dxf>
      <font>
        <strike val="1"/>
        <color rgb="00AAAAAA"/>
      </font>
      <fill>
        <patternFill patternType="solid">
          <fgColor rgb="00F2F2F2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ont>
        <b val="1"/>
        <color rgb="00C00000"/>
      </font>
      <fill>
        <patternFill patternType="solid">
          <fgColor rgb="00FFCCCC"/>
        </patternFill>
      </fill>
    </dxf>
    <dxf>
      <font>
        <b val="1"/>
        <color rgb="00833C00"/>
      </font>
      <fill>
        <patternFill patternType="solid">
          <fgColor rgb="00FCE4D6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  <dxf>
      <font>
        <b val="1"/>
        <color rgb="001F3864"/>
      </font>
      <fill>
        <patternFill patternType="solid">
          <fgColor rgb="00D6E4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F99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tblJobs" displayName="tblJobs" ref="A5:BL500" headerRowCount="1">
  <autoFilter ref="A5:BL500"/>
  <tableColumns count="64">
    <tableColumn id="1" name="Job ID"/>
    <tableColumn id="2" name="Customer"/>
    <tableColumn id="3" name="Product/Description"/>
    <tableColumn id="4" name="Order Qty"/>
    <tableColumn id="5" name="Drawing Ref"/>
    <tableColumn id="6" name="Job Priority"/>
    <tableColumn id="7" name="Overall Status"/>
    <tableColumn id="8" name="Order Due Date"/>
    <tableColumn id="9" name="Date Received"/>
    <tableColumn id="10" name="Days Until Due"/>
    <tableColumn id="11" name="Priority Rank"/>
    <tableColumn id="12" name="Notes"/>
    <tableColumn id="13" name="Profiling_x000a_Status"/>
    <tableColumn id="14" name="Profiling_x000a_Est Hrs"/>
    <tableColumn id="15" name="Profiling_x000a_Operator"/>
    <tableColumn id="16" name="Profiling_x000a_Notes"/>
    <tableColumn id="17" name="Saw_x000a_Status"/>
    <tableColumn id="18" name="Saw_x000a_Est Hrs"/>
    <tableColumn id="19" name="Saw_x000a_Operator"/>
    <tableColumn id="20" name="Saw_x000a_Notes"/>
    <tableColumn id="21" name="Machining 1_x000a_Status"/>
    <tableColumn id="22" name="Machining 1_x000a_Est Hrs"/>
    <tableColumn id="23" name="Machining 1_x000a_Operator"/>
    <tableColumn id="24" name="Machining 1_x000a_Notes"/>
    <tableColumn id="25" name="Machining 2_x000a_Status"/>
    <tableColumn id="26" name="Machining 2_x000a_Est Hrs"/>
    <tableColumn id="27" name="Machining 2_x000a_Operator"/>
    <tableColumn id="28" name="Machining 2_x000a_Notes"/>
    <tableColumn id="29" name="Fabrication 1_x000a_Status"/>
    <tableColumn id="30" name="Fabrication 1_x000a_Est Hrs"/>
    <tableColumn id="31" name="Fabrication 1_x000a_Operator"/>
    <tableColumn id="32" name="Fabrication 1_x000a_Notes"/>
    <tableColumn id="33" name="Fabrication 2_x000a_Status"/>
    <tableColumn id="34" name="Fabrication 2_x000a_Est Hrs"/>
    <tableColumn id="35" name="Fabrication 2_x000a_Operator"/>
    <tableColumn id="36" name="Fabrication 2_x000a_Notes"/>
    <tableColumn id="37" name="Weld 1_x000a_Status"/>
    <tableColumn id="38" name="Weld 1_x000a_Est Hrs"/>
    <tableColumn id="39" name="Weld 1_x000a_Operator"/>
    <tableColumn id="40" name="Weld 1_x000a_Notes"/>
    <tableColumn id="41" name="Weld 2_x000a_Status"/>
    <tableColumn id="42" name="Weld 2_x000a_Est Hrs"/>
    <tableColumn id="43" name="Weld 2_x000a_Operator"/>
    <tableColumn id="44" name="Weld 2_x000a_Notes"/>
    <tableColumn id="45" name="Weld 3_x000a_Status"/>
    <tableColumn id="46" name="Weld 3_x000a_Est Hrs"/>
    <tableColumn id="47" name="Weld 3_x000a_Operator"/>
    <tableColumn id="48" name="Weld 3_x000a_Notes"/>
    <tableColumn id="49" name="Blast_x000a_Status"/>
    <tableColumn id="50" name="Blast_x000a_Est Hrs"/>
    <tableColumn id="51" name="Blast_x000a_Operator"/>
    <tableColumn id="52" name="Blast_x000a_Notes"/>
    <tableColumn id="53" name="Paint_x000a_Status"/>
    <tableColumn id="54" name="Paint_x000a_Est Hrs"/>
    <tableColumn id="55" name="Paint_x000a_Operator"/>
    <tableColumn id="56" name="Paint_x000a_Notes"/>
    <tableColumn id="57" name="Assembly 1_x000a_Status"/>
    <tableColumn id="58" name="Assembly 1_x000a_Est Hrs"/>
    <tableColumn id="59" name="Assembly 1_x000a_Operator"/>
    <tableColumn id="60" name="Assembly 1_x000a_Notes"/>
    <tableColumn id="61" name="Assembly 2_x000a_Status"/>
    <tableColumn id="62" name="Assembly 2_x000a_Est Hrs"/>
    <tableColumn id="63" name="Assembly 2_x000a_Operator"/>
    <tableColumn id="64" name="Assembly 2_x000a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WorkCentres</t>
        </is>
      </c>
      <c r="B1" s="1" t="inlineStr">
        <is>
          <t>Stations</t>
        </is>
      </c>
      <c r="C1" s="1" t="inlineStr">
        <is>
          <t>Priorities</t>
        </is>
      </c>
      <c r="D1" s="1" t="inlineStr">
        <is>
          <t>Statuses</t>
        </is>
      </c>
    </row>
    <row r="2">
      <c r="A2" t="inlineStr">
        <is>
          <t>Profiling</t>
        </is>
      </c>
      <c r="B2" t="inlineStr">
        <is>
          <t>Profiling</t>
        </is>
      </c>
      <c r="C2" t="inlineStr">
        <is>
          <t>Urgent</t>
        </is>
      </c>
      <c r="D2" t="inlineStr">
        <is>
          <t>Not Started</t>
        </is>
      </c>
    </row>
    <row r="3">
      <c r="A3" t="inlineStr">
        <is>
          <t>Saw</t>
        </is>
      </c>
      <c r="B3" t="inlineStr">
        <is>
          <t>Saw</t>
        </is>
      </c>
      <c r="C3" t="inlineStr">
        <is>
          <t>High</t>
        </is>
      </c>
      <c r="D3" t="inlineStr">
        <is>
          <t>In Progress</t>
        </is>
      </c>
    </row>
    <row r="4">
      <c r="A4" t="inlineStr">
        <is>
          <t>Machining</t>
        </is>
      </c>
      <c r="B4" t="inlineStr">
        <is>
          <t>Machining 1</t>
        </is>
      </c>
      <c r="C4" t="inlineStr">
        <is>
          <t>Normal</t>
        </is>
      </c>
      <c r="D4" t="inlineStr">
        <is>
          <t>On Hold</t>
        </is>
      </c>
    </row>
    <row r="5">
      <c r="A5" t="inlineStr">
        <is>
          <t>Fabrication</t>
        </is>
      </c>
      <c r="B5" t="inlineStr">
        <is>
          <t>Machining 2</t>
        </is>
      </c>
      <c r="C5" t="inlineStr">
        <is>
          <t>Low</t>
        </is>
      </c>
      <c r="D5" t="inlineStr">
        <is>
          <t>Complete</t>
        </is>
      </c>
    </row>
    <row r="6">
      <c r="A6" t="inlineStr">
        <is>
          <t>Weld</t>
        </is>
      </c>
      <c r="B6" t="inlineStr">
        <is>
          <t>Fabrication 1</t>
        </is>
      </c>
      <c r="D6" t="inlineStr">
        <is>
          <t>Waiting Materials</t>
        </is>
      </c>
    </row>
    <row r="7">
      <c r="A7" t="inlineStr">
        <is>
          <t>Blast</t>
        </is>
      </c>
      <c r="B7" t="inlineStr">
        <is>
          <t>Fabrication 2</t>
        </is>
      </c>
    </row>
    <row r="8">
      <c r="A8" t="inlineStr">
        <is>
          <t>Paint</t>
        </is>
      </c>
      <c r="B8" t="inlineStr">
        <is>
          <t>Weld 1</t>
        </is>
      </c>
    </row>
    <row r="9">
      <c r="A9" t="inlineStr">
        <is>
          <t>Assembly</t>
        </is>
      </c>
      <c r="B9" t="inlineStr">
        <is>
          <t>Weld 2</t>
        </is>
      </c>
    </row>
    <row r="10">
      <c r="B10" t="inlineStr">
        <is>
          <t>Weld 3</t>
        </is>
      </c>
    </row>
    <row r="11">
      <c r="B11" t="inlineStr">
        <is>
          <t>Blast</t>
        </is>
      </c>
    </row>
    <row r="12">
      <c r="B12" t="inlineStr">
        <is>
          <t>Paint</t>
        </is>
      </c>
    </row>
    <row r="13">
      <c r="B13" t="inlineStr">
        <is>
          <t>Assembly 1</t>
        </is>
      </c>
    </row>
    <row r="14">
      <c r="B14" t="inlineStr">
        <is>
          <t>Assembly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L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8" customWidth="1" min="4" max="4"/>
    <col width="14" customWidth="1" min="5" max="5"/>
    <col width="10" customWidth="1" min="6" max="6"/>
    <col width="14" customWidth="1" min="7" max="7"/>
    <col width="12" customWidth="1" min="8" max="8"/>
    <col width="12" customWidth="1" min="9" max="9"/>
    <col width="12" customWidth="1" min="10" max="10"/>
    <col hidden="1" width="10" customWidth="1" min="11" max="11"/>
    <col width="30" customWidth="1" min="12" max="12"/>
    <col width="14" customWidth="1" min="13" max="13"/>
    <col width="9" customWidth="1" min="14" max="14"/>
    <col width="12" customWidth="1" min="15" max="15"/>
    <col width="22" customWidth="1" min="16" max="16"/>
    <col width="14" customWidth="1" min="17" max="17"/>
    <col width="9" customWidth="1" min="18" max="18"/>
    <col width="12" customWidth="1" min="19" max="19"/>
    <col width="22" customWidth="1" min="20" max="20"/>
    <col width="14" customWidth="1" min="21" max="21"/>
    <col width="9" customWidth="1" min="22" max="22"/>
    <col width="12" customWidth="1" min="23" max="23"/>
    <col width="22" customWidth="1" min="24" max="24"/>
    <col width="14" customWidth="1" min="25" max="25"/>
    <col width="9" customWidth="1" min="26" max="26"/>
    <col width="12" customWidth="1" min="27" max="27"/>
    <col width="22" customWidth="1" min="28" max="28"/>
    <col width="14" customWidth="1" min="29" max="29"/>
    <col width="9" customWidth="1" min="30" max="30"/>
    <col width="12" customWidth="1" min="31" max="31"/>
    <col width="22" customWidth="1" min="32" max="32"/>
    <col width="14" customWidth="1" min="33" max="33"/>
    <col width="9" customWidth="1" min="34" max="34"/>
    <col width="12" customWidth="1" min="35" max="35"/>
    <col width="22" customWidth="1" min="36" max="36"/>
    <col width="14" customWidth="1" min="37" max="37"/>
    <col width="9" customWidth="1" min="38" max="38"/>
    <col width="12" customWidth="1" min="39" max="39"/>
    <col width="22" customWidth="1" min="40" max="40"/>
    <col width="14" customWidth="1" min="41" max="41"/>
    <col width="9" customWidth="1" min="42" max="42"/>
    <col width="12" customWidth="1" min="43" max="43"/>
    <col width="22" customWidth="1" min="44" max="44"/>
    <col width="14" customWidth="1" min="45" max="45"/>
    <col width="9" customWidth="1" min="46" max="46"/>
    <col width="12" customWidth="1" min="47" max="47"/>
    <col width="22" customWidth="1" min="48" max="48"/>
    <col width="14" customWidth="1" min="49" max="49"/>
    <col width="9" customWidth="1" min="50" max="50"/>
    <col width="12" customWidth="1" min="51" max="51"/>
    <col width="22" customWidth="1" min="52" max="52"/>
    <col width="14" customWidth="1" min="53" max="53"/>
    <col width="9" customWidth="1" min="54" max="54"/>
    <col width="12" customWidth="1" min="55" max="55"/>
    <col width="22" customWidth="1" min="56" max="56"/>
    <col width="14" customWidth="1" min="57" max="57"/>
    <col width="9" customWidth="1" min="58" max="58"/>
    <col width="12" customWidth="1" min="59" max="59"/>
    <col width="22" customWidth="1" min="60" max="60"/>
    <col width="14" customWidth="1" min="61" max="61"/>
    <col width="9" customWidth="1" min="62" max="62"/>
    <col width="12" customWidth="1" min="63" max="63"/>
    <col width="22" customWidth="1" min="64" max="64"/>
  </cols>
  <sheetData>
    <row r="1" ht="30" customHeight="1">
      <c r="A1" s="2" t="inlineStr">
        <is>
          <t>PRODUCTION SCHEDULE</t>
        </is>
      </c>
    </row>
    <row r="2" ht="20" customHeight="1">
      <c r="A2" s="3" t="inlineStr">
        <is>
          <t>Agricultural Machinery Manufacturer — Live Job Tracker</t>
        </is>
      </c>
    </row>
    <row r="3" ht="6" customHeight="1"/>
    <row r="4" ht="18" customHeight="1">
      <c r="A4" s="4" t="inlineStr">
        <is>
          <t>JOB IDENTITY</t>
        </is>
      </c>
      <c r="M4" s="5" t="inlineStr">
        <is>
          <t>PROFILING</t>
        </is>
      </c>
      <c r="Q4" s="6" t="inlineStr">
        <is>
          <t>SAW</t>
        </is>
      </c>
      <c r="U4" s="7" t="inlineStr">
        <is>
          <t>MACHINING 1</t>
        </is>
      </c>
      <c r="Y4" s="7" t="inlineStr">
        <is>
          <t>MACHINING 2</t>
        </is>
      </c>
      <c r="AC4" s="8" t="inlineStr">
        <is>
          <t>FABRICATION 1</t>
        </is>
      </c>
      <c r="AG4" s="8" t="inlineStr">
        <is>
          <t>FABRICATION 2</t>
        </is>
      </c>
      <c r="AK4" s="9" t="inlineStr">
        <is>
          <t>WELD 1</t>
        </is>
      </c>
      <c r="AO4" s="9" t="inlineStr">
        <is>
          <t>WELD 2</t>
        </is>
      </c>
      <c r="AS4" s="9" t="inlineStr">
        <is>
          <t>WELD 3</t>
        </is>
      </c>
      <c r="AW4" s="10" t="inlineStr">
        <is>
          <t>BLAST</t>
        </is>
      </c>
      <c r="BA4" s="11" t="inlineStr">
        <is>
          <t>PAINT</t>
        </is>
      </c>
      <c r="BE4" s="12" t="inlineStr">
        <is>
          <t>ASSEMBLY 1</t>
        </is>
      </c>
      <c r="BI4" s="12" t="inlineStr">
        <is>
          <t>ASSEMBLY 2</t>
        </is>
      </c>
    </row>
    <row r="5" ht="32" customHeight="1">
      <c r="A5" s="13" t="inlineStr">
        <is>
          <t>Job ID</t>
        </is>
      </c>
      <c r="B5" s="13" t="inlineStr">
        <is>
          <t>Customer</t>
        </is>
      </c>
      <c r="C5" s="13" t="inlineStr">
        <is>
          <t>Product/Description</t>
        </is>
      </c>
      <c r="D5" s="13" t="inlineStr">
        <is>
          <t>Order Qty</t>
        </is>
      </c>
      <c r="E5" s="13" t="inlineStr">
        <is>
          <t>Drawing Ref</t>
        </is>
      </c>
      <c r="F5" s="13" t="inlineStr">
        <is>
          <t>Job Priority</t>
        </is>
      </c>
      <c r="G5" s="13" t="inlineStr">
        <is>
          <t>Overall Status</t>
        </is>
      </c>
      <c r="H5" s="13" t="inlineStr">
        <is>
          <t>Order Due Date</t>
        </is>
      </c>
      <c r="I5" s="13" t="inlineStr">
        <is>
          <t>Date Received</t>
        </is>
      </c>
      <c r="J5" s="13" t="inlineStr">
        <is>
          <t>Days Until Due</t>
        </is>
      </c>
      <c r="K5" s="13" t="inlineStr">
        <is>
          <t>Priority Rank</t>
        </is>
      </c>
      <c r="L5" s="13" t="inlineStr">
        <is>
          <t>Notes</t>
        </is>
      </c>
      <c r="M5" s="14" t="inlineStr">
        <is>
          <t>Profiling
Status</t>
        </is>
      </c>
      <c r="N5" s="14" t="inlineStr">
        <is>
          <t>Profiling
Est Hrs</t>
        </is>
      </c>
      <c r="O5" s="14" t="inlineStr">
        <is>
          <t>Profiling
Operator</t>
        </is>
      </c>
      <c r="P5" s="14" t="inlineStr">
        <is>
          <t>Profiling
Notes</t>
        </is>
      </c>
      <c r="Q5" s="15" t="inlineStr">
        <is>
          <t>Saw
Status</t>
        </is>
      </c>
      <c r="R5" s="15" t="inlineStr">
        <is>
          <t>Saw
Est Hrs</t>
        </is>
      </c>
      <c r="S5" s="15" t="inlineStr">
        <is>
          <t>Saw
Operator</t>
        </is>
      </c>
      <c r="T5" s="15" t="inlineStr">
        <is>
          <t>Saw
Notes</t>
        </is>
      </c>
      <c r="U5" s="16" t="inlineStr">
        <is>
          <t>Machining 1
Status</t>
        </is>
      </c>
      <c r="V5" s="16" t="inlineStr">
        <is>
          <t>Machining 1
Est Hrs</t>
        </is>
      </c>
      <c r="W5" s="16" t="inlineStr">
        <is>
          <t>Machining 1
Operator</t>
        </is>
      </c>
      <c r="X5" s="16" t="inlineStr">
        <is>
          <t>Machining 1
Notes</t>
        </is>
      </c>
      <c r="Y5" s="16" t="inlineStr">
        <is>
          <t>Machining 2
Status</t>
        </is>
      </c>
      <c r="Z5" s="16" t="inlineStr">
        <is>
          <t>Machining 2
Est Hrs</t>
        </is>
      </c>
      <c r="AA5" s="16" t="inlineStr">
        <is>
          <t>Machining 2
Operator</t>
        </is>
      </c>
      <c r="AB5" s="16" t="inlineStr">
        <is>
          <t>Machining 2
Notes</t>
        </is>
      </c>
      <c r="AC5" s="17" t="inlineStr">
        <is>
          <t>Fabrication 1
Status</t>
        </is>
      </c>
      <c r="AD5" s="17" t="inlineStr">
        <is>
          <t>Fabrication 1
Est Hrs</t>
        </is>
      </c>
      <c r="AE5" s="17" t="inlineStr">
        <is>
          <t>Fabrication 1
Operator</t>
        </is>
      </c>
      <c r="AF5" s="17" t="inlineStr">
        <is>
          <t>Fabrication 1
Notes</t>
        </is>
      </c>
      <c r="AG5" s="17" t="inlineStr">
        <is>
          <t>Fabrication 2
Status</t>
        </is>
      </c>
      <c r="AH5" s="17" t="inlineStr">
        <is>
          <t>Fabrication 2
Est Hrs</t>
        </is>
      </c>
      <c r="AI5" s="17" t="inlineStr">
        <is>
          <t>Fabrication 2
Operator</t>
        </is>
      </c>
      <c r="AJ5" s="17" t="inlineStr">
        <is>
          <t>Fabrication 2
Notes</t>
        </is>
      </c>
      <c r="AK5" s="13" t="inlineStr">
        <is>
          <t>Weld 1
Status</t>
        </is>
      </c>
      <c r="AL5" s="13" t="inlineStr">
        <is>
          <t>Weld 1
Est Hrs</t>
        </is>
      </c>
      <c r="AM5" s="13" t="inlineStr">
        <is>
          <t>Weld 1
Operator</t>
        </is>
      </c>
      <c r="AN5" s="13" t="inlineStr">
        <is>
          <t>Weld 1
Notes</t>
        </is>
      </c>
      <c r="AO5" s="13" t="inlineStr">
        <is>
          <t>Weld 2
Status</t>
        </is>
      </c>
      <c r="AP5" s="13" t="inlineStr">
        <is>
          <t>Weld 2
Est Hrs</t>
        </is>
      </c>
      <c r="AQ5" s="13" t="inlineStr">
        <is>
          <t>Weld 2
Operator</t>
        </is>
      </c>
      <c r="AR5" s="13" t="inlineStr">
        <is>
          <t>Weld 2
Notes</t>
        </is>
      </c>
      <c r="AS5" s="13" t="inlineStr">
        <is>
          <t>Weld 3
Status</t>
        </is>
      </c>
      <c r="AT5" s="13" t="inlineStr">
        <is>
          <t>Weld 3
Est Hrs</t>
        </is>
      </c>
      <c r="AU5" s="13" t="inlineStr">
        <is>
          <t>Weld 3
Operator</t>
        </is>
      </c>
      <c r="AV5" s="13" t="inlineStr">
        <is>
          <t>Weld 3
Notes</t>
        </is>
      </c>
      <c r="AW5" s="18" t="inlineStr">
        <is>
          <t>Blast
Status</t>
        </is>
      </c>
      <c r="AX5" s="18" t="inlineStr">
        <is>
          <t>Blast
Est Hrs</t>
        </is>
      </c>
      <c r="AY5" s="18" t="inlineStr">
        <is>
          <t>Blast
Operator</t>
        </is>
      </c>
      <c r="AZ5" s="18" t="inlineStr">
        <is>
          <t>Blast
Notes</t>
        </is>
      </c>
      <c r="BA5" s="19" t="inlineStr">
        <is>
          <t>Paint
Status</t>
        </is>
      </c>
      <c r="BB5" s="19" t="inlineStr">
        <is>
          <t>Paint
Est Hrs</t>
        </is>
      </c>
      <c r="BC5" s="19" t="inlineStr">
        <is>
          <t>Paint
Operator</t>
        </is>
      </c>
      <c r="BD5" s="19" t="inlineStr">
        <is>
          <t>Paint
Notes</t>
        </is>
      </c>
      <c r="BE5" s="20" t="inlineStr">
        <is>
          <t>Assembly 1
Status</t>
        </is>
      </c>
      <c r="BF5" s="20" t="inlineStr">
        <is>
          <t>Assembly 1
Est Hrs</t>
        </is>
      </c>
      <c r="BG5" s="20" t="inlineStr">
        <is>
          <t>Assembly 1
Operator</t>
        </is>
      </c>
      <c r="BH5" s="20" t="inlineStr">
        <is>
          <t>Assembly 1
Notes</t>
        </is>
      </c>
      <c r="BI5" s="20" t="inlineStr">
        <is>
          <t>Assembly 2
Status</t>
        </is>
      </c>
      <c r="BJ5" s="20" t="inlineStr">
        <is>
          <t>Assembly 2
Est Hrs</t>
        </is>
      </c>
      <c r="BK5" s="20" t="inlineStr">
        <is>
          <t>Assembly 2
Operator</t>
        </is>
      </c>
      <c r="BL5" s="20" t="inlineStr">
        <is>
          <t>Assembly 2
Notes</t>
        </is>
      </c>
    </row>
    <row r="6">
      <c r="A6" t="inlineStr">
        <is>
          <t>J-1001</t>
        </is>
      </c>
      <c r="B6" t="inlineStr">
        <is>
          <t>Brennan Agri Ltd</t>
        </is>
      </c>
      <c r="C6" t="inlineStr">
        <is>
          <t>Disc Harrow 3m</t>
        </is>
      </c>
      <c r="D6" t="n">
        <v>5</v>
      </c>
      <c r="E6" t="inlineStr">
        <is>
          <t>DH-3000</t>
        </is>
      </c>
      <c r="F6" t="inlineStr">
        <is>
          <t>Urgent</t>
        </is>
      </c>
      <c r="G6" t="inlineStr">
        <is>
          <t>In Progress</t>
        </is>
      </c>
      <c r="H6" s="21" t="n">
        <v>46069</v>
      </c>
      <c r="I6" s="21" t="n">
        <v>46044</v>
      </c>
      <c r="J6">
        <f>IFERROR(H6-TODAY(),"")</f>
        <v/>
      </c>
      <c r="K6">
        <f>IFERROR(MATCH(F6,Priorities,0),99)</f>
        <v/>
      </c>
      <c r="M6" t="inlineStr">
        <is>
          <t>Complete</t>
        </is>
      </c>
      <c r="N6" t="n">
        <v>2</v>
      </c>
      <c r="O6" t="inlineStr">
        <is>
          <t>Tom B.</t>
        </is>
      </c>
      <c r="Q6" t="inlineStr">
        <is>
          <t>Complete</t>
        </is>
      </c>
      <c r="R6" t="n">
        <v>1.5</v>
      </c>
      <c r="S6" t="inlineStr">
        <is>
          <t>Tom B.</t>
        </is>
      </c>
      <c r="U6" t="inlineStr">
        <is>
          <t>Complete</t>
        </is>
      </c>
      <c r="V6" t="n">
        <v>4</v>
      </c>
      <c r="W6" t="inlineStr">
        <is>
          <t>Kevin D.</t>
        </is>
      </c>
      <c r="Y6" t="inlineStr">
        <is>
          <t>Not Started</t>
        </is>
      </c>
      <c r="Z6" t="n">
        <v>4</v>
      </c>
      <c r="AC6" t="inlineStr">
        <is>
          <t>In Progress</t>
        </is>
      </c>
      <c r="AD6" t="n">
        <v>6</v>
      </c>
      <c r="AE6" t="inlineStr">
        <is>
          <t>Declan O.</t>
        </is>
      </c>
      <c r="AG6" t="inlineStr">
        <is>
          <t>Not Started</t>
        </is>
      </c>
      <c r="AH6" t="n">
        <v>6</v>
      </c>
      <c r="AK6" t="inlineStr">
        <is>
          <t>Not Started</t>
        </is>
      </c>
      <c r="AL6" t="n">
        <v>8</v>
      </c>
      <c r="AO6" t="inlineStr">
        <is>
          <t>Not Started</t>
        </is>
      </c>
      <c r="AP6" t="n">
        <v>8</v>
      </c>
      <c r="AS6" t="inlineStr">
        <is>
          <t>Not Started</t>
        </is>
      </c>
      <c r="AT6" t="n">
        <v>8</v>
      </c>
      <c r="AW6" t="inlineStr">
        <is>
          <t>Not Started</t>
        </is>
      </c>
      <c r="AX6" t="n">
        <v>2</v>
      </c>
      <c r="BA6" t="inlineStr">
        <is>
          <t>Not Started</t>
        </is>
      </c>
      <c r="BB6" t="n">
        <v>3</v>
      </c>
      <c r="BE6" t="inlineStr">
        <is>
          <t>Not Started</t>
        </is>
      </c>
      <c r="BF6" t="n">
        <v>5</v>
      </c>
      <c r="BI6" t="inlineStr">
        <is>
          <t>Not Started</t>
        </is>
      </c>
      <c r="BJ6" t="n">
        <v>5</v>
      </c>
    </row>
    <row r="7">
      <c r="A7" t="inlineStr">
        <is>
          <t>J-1002</t>
        </is>
      </c>
      <c r="B7" t="inlineStr">
        <is>
          <t>Murphy Farms</t>
        </is>
      </c>
      <c r="C7" t="inlineStr">
        <is>
          <t>Muck Spreader 6T</t>
        </is>
      </c>
      <c r="D7" t="n">
        <v>2</v>
      </c>
      <c r="E7" t="inlineStr">
        <is>
          <t>MS-6000</t>
        </is>
      </c>
      <c r="F7" t="inlineStr">
        <is>
          <t>High</t>
        </is>
      </c>
      <c r="G7" t="inlineStr">
        <is>
          <t>In Progress</t>
        </is>
      </c>
      <c r="H7" s="21" t="n">
        <v>46072</v>
      </c>
      <c r="I7" s="21" t="n">
        <v>46049</v>
      </c>
      <c r="J7">
        <f>IFERROR(H7-TODAY(),"")</f>
        <v/>
      </c>
      <c r="K7">
        <f>IFERROR(MATCH(F7,Priorities,0),99)</f>
        <v/>
      </c>
      <c r="M7" t="inlineStr">
        <is>
          <t>Complete</t>
        </is>
      </c>
      <c r="N7" t="n">
        <v>2</v>
      </c>
      <c r="O7" t="inlineStr">
        <is>
          <t>Tom B.</t>
        </is>
      </c>
      <c r="Q7" t="inlineStr">
        <is>
          <t>Complete</t>
        </is>
      </c>
      <c r="R7" t="n">
        <v>1.5</v>
      </c>
      <c r="S7" t="inlineStr">
        <is>
          <t>Tom B.</t>
        </is>
      </c>
      <c r="U7" t="inlineStr">
        <is>
          <t>Not Started</t>
        </is>
      </c>
      <c r="V7" t="n">
        <v>4</v>
      </c>
      <c r="Y7" t="inlineStr">
        <is>
          <t>Not Started</t>
        </is>
      </c>
      <c r="Z7" t="n">
        <v>4</v>
      </c>
      <c r="AC7" t="inlineStr">
        <is>
          <t>Complete</t>
        </is>
      </c>
      <c r="AD7" t="n">
        <v>6</v>
      </c>
      <c r="AE7" t="inlineStr">
        <is>
          <t>Declan O.</t>
        </is>
      </c>
      <c r="AG7" t="inlineStr">
        <is>
          <t>In Progress</t>
        </is>
      </c>
      <c r="AH7" t="n">
        <v>6</v>
      </c>
      <c r="AI7" t="inlineStr">
        <is>
          <t>Declan O.</t>
        </is>
      </c>
      <c r="AK7" t="inlineStr">
        <is>
          <t>Not Started</t>
        </is>
      </c>
      <c r="AL7" t="n">
        <v>8</v>
      </c>
      <c r="AO7" t="inlineStr">
        <is>
          <t>Not Started</t>
        </is>
      </c>
      <c r="AP7" t="n">
        <v>8</v>
      </c>
      <c r="AS7" t="inlineStr">
        <is>
          <t>Not Started</t>
        </is>
      </c>
      <c r="AT7" t="n">
        <v>8</v>
      </c>
      <c r="AW7" t="inlineStr">
        <is>
          <t>Not Started</t>
        </is>
      </c>
      <c r="AX7" t="n">
        <v>2</v>
      </c>
      <c r="BA7" t="inlineStr">
        <is>
          <t>Not Started</t>
        </is>
      </c>
      <c r="BB7" t="n">
        <v>3</v>
      </c>
      <c r="BE7" t="inlineStr">
        <is>
          <t>Not Started</t>
        </is>
      </c>
      <c r="BF7" t="n">
        <v>5</v>
      </c>
      <c r="BI7" t="inlineStr">
        <is>
          <t>Not Started</t>
        </is>
      </c>
      <c r="BJ7" t="n">
        <v>5</v>
      </c>
    </row>
    <row r="8">
      <c r="A8" t="inlineStr">
        <is>
          <t>J-1003</t>
        </is>
      </c>
      <c r="B8" t="inlineStr">
        <is>
          <t>O'Brien Tillage</t>
        </is>
      </c>
      <c r="C8" t="inlineStr">
        <is>
          <t>Subsoiler 5-Leg</t>
        </is>
      </c>
      <c r="D8" t="n">
        <v>3</v>
      </c>
      <c r="E8" t="inlineStr">
        <is>
          <t>SS-0500</t>
        </is>
      </c>
      <c r="F8" t="inlineStr">
        <is>
          <t>Urgent</t>
        </is>
      </c>
      <c r="G8" t="inlineStr">
        <is>
          <t>In Progress</t>
        </is>
      </c>
      <c r="H8" s="21" t="n">
        <v>46066</v>
      </c>
      <c r="I8" s="21" t="n">
        <v>46034</v>
      </c>
      <c r="J8">
        <f>IFERROR(H8-TODAY(),"")</f>
        <v/>
      </c>
      <c r="K8">
        <f>IFERROR(MATCH(F8,Priorities,0),99)</f>
        <v/>
      </c>
      <c r="M8" t="inlineStr">
        <is>
          <t>Complete</t>
        </is>
      </c>
      <c r="N8" t="n">
        <v>2</v>
      </c>
      <c r="O8" t="inlineStr">
        <is>
          <t>Sean R.</t>
        </is>
      </c>
      <c r="Q8" t="inlineStr">
        <is>
          <t>Complete</t>
        </is>
      </c>
      <c r="R8" t="n">
        <v>1.5</v>
      </c>
      <c r="S8" t="inlineStr">
        <is>
          <t>Tom B.</t>
        </is>
      </c>
      <c r="U8" t="inlineStr">
        <is>
          <t>Complete</t>
        </is>
      </c>
      <c r="V8" t="n">
        <v>4</v>
      </c>
      <c r="W8" t="inlineStr">
        <is>
          <t>Pat M.</t>
        </is>
      </c>
      <c r="Y8" t="inlineStr">
        <is>
          <t>Complete</t>
        </is>
      </c>
      <c r="Z8" t="n">
        <v>4</v>
      </c>
      <c r="AA8" t="inlineStr">
        <is>
          <t>Pat M.</t>
        </is>
      </c>
      <c r="AC8" t="inlineStr">
        <is>
          <t>Complete</t>
        </is>
      </c>
      <c r="AD8" t="n">
        <v>6</v>
      </c>
      <c r="AE8" t="inlineStr">
        <is>
          <t>Declan O.</t>
        </is>
      </c>
      <c r="AG8" t="inlineStr">
        <is>
          <t>Not Started</t>
        </is>
      </c>
      <c r="AH8" t="n">
        <v>6</v>
      </c>
      <c r="AK8" t="inlineStr">
        <is>
          <t>In Progress</t>
        </is>
      </c>
      <c r="AL8" t="n">
        <v>8</v>
      </c>
      <c r="AM8" t="inlineStr">
        <is>
          <t>Ciaran W.</t>
        </is>
      </c>
      <c r="AO8" t="inlineStr">
        <is>
          <t>Not Started</t>
        </is>
      </c>
      <c r="AP8" t="n">
        <v>8</v>
      </c>
      <c r="AS8" t="inlineStr">
        <is>
          <t>Not Started</t>
        </is>
      </c>
      <c r="AT8" t="n">
        <v>8</v>
      </c>
      <c r="AW8" t="inlineStr">
        <is>
          <t>Not Started</t>
        </is>
      </c>
      <c r="AX8" t="n">
        <v>2</v>
      </c>
      <c r="BA8" t="inlineStr">
        <is>
          <t>Not Started</t>
        </is>
      </c>
      <c r="BB8" t="n">
        <v>3</v>
      </c>
      <c r="BE8" t="inlineStr">
        <is>
          <t>Not Started</t>
        </is>
      </c>
      <c r="BF8" t="n">
        <v>5</v>
      </c>
      <c r="BI8" t="inlineStr">
        <is>
          <t>Not Started</t>
        </is>
      </c>
      <c r="BJ8" t="n">
        <v>5</v>
      </c>
    </row>
    <row r="9">
      <c r="A9" t="inlineStr">
        <is>
          <t>J-1004</t>
        </is>
      </c>
      <c r="B9" t="inlineStr">
        <is>
          <t>Kelly Contracting</t>
        </is>
      </c>
      <c r="C9" t="inlineStr">
        <is>
          <t>Bale Handler Twin</t>
        </is>
      </c>
      <c r="D9" t="n">
        <v>4</v>
      </c>
      <c r="E9" t="inlineStr">
        <is>
          <t>BH-2000</t>
        </is>
      </c>
      <c r="F9" t="inlineStr">
        <is>
          <t>High</t>
        </is>
      </c>
      <c r="G9" t="inlineStr">
        <is>
          <t>In Progress</t>
        </is>
      </c>
      <c r="H9" s="21" t="n">
        <v>46076</v>
      </c>
      <c r="I9" s="21" t="n">
        <v>46054</v>
      </c>
      <c r="J9">
        <f>IFERROR(H9-TODAY(),"")</f>
        <v/>
      </c>
      <c r="K9">
        <f>IFERROR(MATCH(F9,Priorities,0),99)</f>
        <v/>
      </c>
      <c r="M9" t="inlineStr">
        <is>
          <t>Complete</t>
        </is>
      </c>
      <c r="N9" t="n">
        <v>2</v>
      </c>
      <c r="O9" t="inlineStr">
        <is>
          <t>Tom B.</t>
        </is>
      </c>
      <c r="Q9" t="inlineStr">
        <is>
          <t>Complete</t>
        </is>
      </c>
      <c r="R9" t="n">
        <v>1.5</v>
      </c>
      <c r="S9" t="inlineStr">
        <is>
          <t>Tom B.</t>
        </is>
      </c>
      <c r="U9" t="inlineStr">
        <is>
          <t>Not Started</t>
        </is>
      </c>
      <c r="V9" t="n">
        <v>4</v>
      </c>
      <c r="Y9" t="inlineStr">
        <is>
          <t>Not Started</t>
        </is>
      </c>
      <c r="Z9" t="n">
        <v>4</v>
      </c>
      <c r="AC9" t="inlineStr">
        <is>
          <t>Complete</t>
        </is>
      </c>
      <c r="AD9" t="n">
        <v>6</v>
      </c>
      <c r="AE9" t="inlineStr">
        <is>
          <t>Brian S.</t>
        </is>
      </c>
      <c r="AG9" t="inlineStr">
        <is>
          <t>Not Started</t>
        </is>
      </c>
      <c r="AH9" t="n">
        <v>6</v>
      </c>
      <c r="AK9" t="inlineStr">
        <is>
          <t>Complete</t>
        </is>
      </c>
      <c r="AL9" t="n">
        <v>8</v>
      </c>
      <c r="AM9" t="inlineStr">
        <is>
          <t>Ciaran W.</t>
        </is>
      </c>
      <c r="AO9" t="inlineStr">
        <is>
          <t>In Progress</t>
        </is>
      </c>
      <c r="AP9" t="n">
        <v>8</v>
      </c>
      <c r="AQ9" t="inlineStr">
        <is>
          <t>Dave L.</t>
        </is>
      </c>
      <c r="AS9" t="inlineStr">
        <is>
          <t>Not Started</t>
        </is>
      </c>
      <c r="AT9" t="n">
        <v>8</v>
      </c>
      <c r="AW9" t="inlineStr">
        <is>
          <t>Not Started</t>
        </is>
      </c>
      <c r="AX9" t="n">
        <v>2</v>
      </c>
      <c r="BA9" t="inlineStr">
        <is>
          <t>Not Started</t>
        </is>
      </c>
      <c r="BB9" t="n">
        <v>3</v>
      </c>
      <c r="BE9" t="inlineStr">
        <is>
          <t>Not Started</t>
        </is>
      </c>
      <c r="BF9" t="n">
        <v>5</v>
      </c>
      <c r="BI9" t="inlineStr">
        <is>
          <t>Not Started</t>
        </is>
      </c>
      <c r="BJ9" t="n">
        <v>5</v>
      </c>
    </row>
    <row r="10">
      <c r="A10" t="inlineStr">
        <is>
          <t>J-1005</t>
        </is>
      </c>
      <c r="B10" t="inlineStr">
        <is>
          <t>Walsh Plant Hire</t>
        </is>
      </c>
      <c r="C10" t="inlineStr">
        <is>
          <t>Roller Cambridge 4m</t>
        </is>
      </c>
      <c r="D10" t="n">
        <v>1</v>
      </c>
      <c r="E10" t="inlineStr">
        <is>
          <t>RC-4000</t>
        </is>
      </c>
      <c r="F10" t="inlineStr">
        <is>
          <t>Normal</t>
        </is>
      </c>
      <c r="G10" t="inlineStr">
        <is>
          <t>In Progress</t>
        </is>
      </c>
      <c r="H10" s="21" t="n">
        <v>46081</v>
      </c>
      <c r="I10" s="21" t="n">
        <v>46059</v>
      </c>
      <c r="J10">
        <f>IFERROR(H10-TODAY(),"")</f>
        <v/>
      </c>
      <c r="K10">
        <f>IFERROR(MATCH(F10,Priorities,0),99)</f>
        <v/>
      </c>
      <c r="M10" t="inlineStr">
        <is>
          <t>Complete</t>
        </is>
      </c>
      <c r="N10" t="n">
        <v>2</v>
      </c>
      <c r="O10" t="inlineStr">
        <is>
          <t>Sean R.</t>
        </is>
      </c>
      <c r="Q10" t="inlineStr">
        <is>
          <t>Complete</t>
        </is>
      </c>
      <c r="R10" t="n">
        <v>1.5</v>
      </c>
      <c r="S10" t="inlineStr">
        <is>
          <t>Tom B.</t>
        </is>
      </c>
      <c r="U10" t="inlineStr">
        <is>
          <t>Not Started</t>
        </is>
      </c>
      <c r="V10" t="n">
        <v>4</v>
      </c>
      <c r="Y10" t="inlineStr">
        <is>
          <t>Not Started</t>
        </is>
      </c>
      <c r="Z10" t="n">
        <v>4</v>
      </c>
      <c r="AC10" t="inlineStr">
        <is>
          <t>In Progress</t>
        </is>
      </c>
      <c r="AD10" t="n">
        <v>6</v>
      </c>
      <c r="AE10" t="inlineStr">
        <is>
          <t>Declan O.</t>
        </is>
      </c>
      <c r="AG10" t="inlineStr">
        <is>
          <t>Not Started</t>
        </is>
      </c>
      <c r="AH10" t="n">
        <v>6</v>
      </c>
      <c r="AK10" t="inlineStr">
        <is>
          <t>Not Started</t>
        </is>
      </c>
      <c r="AL10" t="n">
        <v>8</v>
      </c>
      <c r="AO10" t="inlineStr">
        <is>
          <t>Not Started</t>
        </is>
      </c>
      <c r="AP10" t="n">
        <v>8</v>
      </c>
      <c r="AS10" t="inlineStr">
        <is>
          <t>Not Started</t>
        </is>
      </c>
      <c r="AT10" t="n">
        <v>8</v>
      </c>
      <c r="AW10" t="inlineStr">
        <is>
          <t>Not Started</t>
        </is>
      </c>
      <c r="AX10" t="n">
        <v>2</v>
      </c>
      <c r="BA10" t="inlineStr">
        <is>
          <t>Not Started</t>
        </is>
      </c>
      <c r="BB10" t="n">
        <v>3</v>
      </c>
      <c r="BE10" t="inlineStr">
        <is>
          <t>Not Started</t>
        </is>
      </c>
      <c r="BF10" t="n">
        <v>5</v>
      </c>
      <c r="BI10" t="inlineStr">
        <is>
          <t>Not Started</t>
        </is>
      </c>
      <c r="BJ10" t="n">
        <v>5</v>
      </c>
    </row>
    <row r="11">
      <c r="A11" t="inlineStr">
        <is>
          <t>J-1006</t>
        </is>
      </c>
      <c r="B11" t="inlineStr">
        <is>
          <t>Fitzpatrick Agri</t>
        </is>
      </c>
      <c r="C11" t="inlineStr">
        <is>
          <t>Trailer 14T Grain</t>
        </is>
      </c>
      <c r="D11" t="n">
        <v>2</v>
      </c>
      <c r="E11" t="inlineStr">
        <is>
          <t>TG-1400</t>
        </is>
      </c>
      <c r="F11" t="inlineStr">
        <is>
          <t>Normal</t>
        </is>
      </c>
      <c r="G11" t="inlineStr">
        <is>
          <t>Not Started</t>
        </is>
      </c>
      <c r="H11" s="21" t="n">
        <v>46088</v>
      </c>
      <c r="I11" s="21" t="n">
        <v>46064</v>
      </c>
      <c r="J11">
        <f>IFERROR(H11-TODAY(),"")</f>
        <v/>
      </c>
      <c r="K11">
        <f>IFERROR(MATCH(F11,Priorities,0),99)</f>
        <v/>
      </c>
      <c r="M11" t="inlineStr">
        <is>
          <t>Not Started</t>
        </is>
      </c>
      <c r="N11" t="n">
        <v>2</v>
      </c>
      <c r="Q11" t="inlineStr">
        <is>
          <t>Not Started</t>
        </is>
      </c>
      <c r="R11" t="n">
        <v>1.5</v>
      </c>
      <c r="U11" t="inlineStr">
        <is>
          <t>Not Started</t>
        </is>
      </c>
      <c r="V11" t="n">
        <v>4</v>
      </c>
      <c r="Y11" t="inlineStr">
        <is>
          <t>Not Started</t>
        </is>
      </c>
      <c r="Z11" t="n">
        <v>4</v>
      </c>
      <c r="AC11" t="inlineStr">
        <is>
          <t>Not Started</t>
        </is>
      </c>
      <c r="AD11" t="n">
        <v>6</v>
      </c>
      <c r="AG11" t="inlineStr">
        <is>
          <t>Not Started</t>
        </is>
      </c>
      <c r="AH11" t="n">
        <v>6</v>
      </c>
      <c r="AK11" t="inlineStr">
        <is>
          <t>Not Started</t>
        </is>
      </c>
      <c r="AL11" t="n">
        <v>8</v>
      </c>
      <c r="AO11" t="inlineStr">
        <is>
          <t>Not Started</t>
        </is>
      </c>
      <c r="AP11" t="n">
        <v>8</v>
      </c>
      <c r="AS11" t="inlineStr">
        <is>
          <t>Not Started</t>
        </is>
      </c>
      <c r="AT11" t="n">
        <v>8</v>
      </c>
      <c r="AW11" t="inlineStr">
        <is>
          <t>Not Started</t>
        </is>
      </c>
      <c r="AX11" t="n">
        <v>2</v>
      </c>
      <c r="BA11" t="inlineStr">
        <is>
          <t>Not Started</t>
        </is>
      </c>
      <c r="BB11" t="n">
        <v>3</v>
      </c>
      <c r="BE11" t="inlineStr">
        <is>
          <t>Not Started</t>
        </is>
      </c>
      <c r="BF11" t="n">
        <v>5</v>
      </c>
      <c r="BI11" t="inlineStr">
        <is>
          <t>Not Started</t>
        </is>
      </c>
      <c r="BJ11" t="n">
        <v>5</v>
      </c>
    </row>
    <row r="12">
      <c r="A12" t="inlineStr">
        <is>
          <t>J-1007</t>
        </is>
      </c>
      <c r="B12" t="inlineStr">
        <is>
          <t>Connolly &amp; Sons</t>
        </is>
      </c>
      <c r="C12" t="inlineStr">
        <is>
          <t>Disc Harrow 4m</t>
        </is>
      </c>
      <c r="D12" t="n">
        <v>3</v>
      </c>
      <c r="E12" t="inlineStr">
        <is>
          <t>DH-4000</t>
        </is>
      </c>
      <c r="F12" t="inlineStr">
        <is>
          <t>High</t>
        </is>
      </c>
      <c r="G12" t="inlineStr">
        <is>
          <t>In Progress</t>
        </is>
      </c>
      <c r="H12" s="21" t="n">
        <v>46075</v>
      </c>
      <c r="I12" s="21" t="n">
        <v>46056</v>
      </c>
      <c r="J12">
        <f>IFERROR(H12-TODAY(),"")</f>
        <v/>
      </c>
      <c r="K12">
        <f>IFERROR(MATCH(F12,Priorities,0),99)</f>
        <v/>
      </c>
      <c r="M12" t="inlineStr">
        <is>
          <t>Complete</t>
        </is>
      </c>
      <c r="N12" t="n">
        <v>2</v>
      </c>
      <c r="O12" t="inlineStr">
        <is>
          <t>Sean R.</t>
        </is>
      </c>
      <c r="Q12" t="inlineStr">
        <is>
          <t>Complete</t>
        </is>
      </c>
      <c r="R12" t="n">
        <v>1.5</v>
      </c>
      <c r="S12" t="inlineStr">
        <is>
          <t>Liam F.</t>
        </is>
      </c>
      <c r="U12" t="inlineStr">
        <is>
          <t>In Progress</t>
        </is>
      </c>
      <c r="V12" t="n">
        <v>4</v>
      </c>
      <c r="W12" t="inlineStr">
        <is>
          <t>Kevin D.</t>
        </is>
      </c>
      <c r="Y12" t="inlineStr">
        <is>
          <t>Not Started</t>
        </is>
      </c>
      <c r="Z12" t="n">
        <v>4</v>
      </c>
      <c r="AC12" t="inlineStr">
        <is>
          <t>Not Started</t>
        </is>
      </c>
      <c r="AD12" t="n">
        <v>6</v>
      </c>
      <c r="AG12" t="inlineStr">
        <is>
          <t>Not Started</t>
        </is>
      </c>
      <c r="AH12" t="n">
        <v>6</v>
      </c>
      <c r="AK12" t="inlineStr">
        <is>
          <t>Not Started</t>
        </is>
      </c>
      <c r="AL12" t="n">
        <v>8</v>
      </c>
      <c r="AO12" t="inlineStr">
        <is>
          <t>Not Started</t>
        </is>
      </c>
      <c r="AP12" t="n">
        <v>8</v>
      </c>
      <c r="AS12" t="inlineStr">
        <is>
          <t>Not Started</t>
        </is>
      </c>
      <c r="AT12" t="n">
        <v>8</v>
      </c>
      <c r="AW12" t="inlineStr">
        <is>
          <t>Not Started</t>
        </is>
      </c>
      <c r="AX12" t="n">
        <v>2</v>
      </c>
      <c r="BA12" t="inlineStr">
        <is>
          <t>Not Started</t>
        </is>
      </c>
      <c r="BB12" t="n">
        <v>3</v>
      </c>
      <c r="BE12" t="inlineStr">
        <is>
          <t>Not Started</t>
        </is>
      </c>
      <c r="BF12" t="n">
        <v>5</v>
      </c>
      <c r="BI12" t="inlineStr">
        <is>
          <t>Not Started</t>
        </is>
      </c>
      <c r="BJ12" t="n">
        <v>5</v>
      </c>
    </row>
    <row r="13">
      <c r="A13" t="inlineStr">
        <is>
          <t>J-1008</t>
        </is>
      </c>
      <c r="B13" t="inlineStr">
        <is>
          <t>Riordan Farm Supplies</t>
        </is>
      </c>
      <c r="C13" t="inlineStr">
        <is>
          <t>Muck Spreader 8T</t>
        </is>
      </c>
      <c r="D13" t="n">
        <v>1</v>
      </c>
      <c r="E13" t="inlineStr">
        <is>
          <t>MS-8000</t>
        </is>
      </c>
      <c r="F13" t="inlineStr">
        <is>
          <t>Low</t>
        </is>
      </c>
      <c r="G13" t="inlineStr">
        <is>
          <t>Not Started</t>
        </is>
      </c>
      <c r="H13" s="21" t="n">
        <v>46095</v>
      </c>
      <c r="I13" s="21" t="n">
        <v>46069</v>
      </c>
      <c r="J13">
        <f>IFERROR(H13-TODAY(),"")</f>
        <v/>
      </c>
      <c r="K13">
        <f>IFERROR(MATCH(F13,Priorities,0),99)</f>
        <v/>
      </c>
      <c r="M13" t="inlineStr">
        <is>
          <t>Not Started</t>
        </is>
      </c>
      <c r="N13" t="n">
        <v>2</v>
      </c>
      <c r="Q13" t="inlineStr">
        <is>
          <t>Not Started</t>
        </is>
      </c>
      <c r="R13" t="n">
        <v>1.5</v>
      </c>
      <c r="U13" t="inlineStr">
        <is>
          <t>Not Started</t>
        </is>
      </c>
      <c r="V13" t="n">
        <v>4</v>
      </c>
      <c r="Y13" t="inlineStr">
        <is>
          <t>Not Started</t>
        </is>
      </c>
      <c r="Z13" t="n">
        <v>4</v>
      </c>
      <c r="AC13" t="inlineStr">
        <is>
          <t>Not Started</t>
        </is>
      </c>
      <c r="AD13" t="n">
        <v>6</v>
      </c>
      <c r="AG13" t="inlineStr">
        <is>
          <t>Not Started</t>
        </is>
      </c>
      <c r="AH13" t="n">
        <v>6</v>
      </c>
      <c r="AK13" t="inlineStr">
        <is>
          <t>Not Started</t>
        </is>
      </c>
      <c r="AL13" t="n">
        <v>8</v>
      </c>
      <c r="AO13" t="inlineStr">
        <is>
          <t>Not Started</t>
        </is>
      </c>
      <c r="AP13" t="n">
        <v>8</v>
      </c>
      <c r="AS13" t="inlineStr">
        <is>
          <t>Not Started</t>
        </is>
      </c>
      <c r="AT13" t="n">
        <v>8</v>
      </c>
      <c r="AW13" t="inlineStr">
        <is>
          <t>Not Started</t>
        </is>
      </c>
      <c r="AX13" t="n">
        <v>2</v>
      </c>
      <c r="BA13" t="inlineStr">
        <is>
          <t>Not Started</t>
        </is>
      </c>
      <c r="BB13" t="n">
        <v>3</v>
      </c>
      <c r="BE13" t="inlineStr">
        <is>
          <t>Not Started</t>
        </is>
      </c>
      <c r="BF13" t="n">
        <v>5</v>
      </c>
      <c r="BI13" t="inlineStr">
        <is>
          <t>Not Started</t>
        </is>
      </c>
      <c r="BJ13" t="n">
        <v>5</v>
      </c>
    </row>
    <row r="14">
      <c r="A14" t="inlineStr">
        <is>
          <t>J-1009</t>
        </is>
      </c>
      <c r="B14" t="inlineStr">
        <is>
          <t>Daly Agri Repairs</t>
        </is>
      </c>
      <c r="C14" t="inlineStr">
        <is>
          <t>Subsoiler 7-Leg</t>
        </is>
      </c>
      <c r="D14" t="n">
        <v>2</v>
      </c>
      <c r="E14" t="inlineStr">
        <is>
          <t>SS-0700</t>
        </is>
      </c>
      <c r="F14" t="inlineStr">
        <is>
          <t>Normal</t>
        </is>
      </c>
      <c r="G14" t="inlineStr">
        <is>
          <t>In Progress</t>
        </is>
      </c>
      <c r="H14" s="21" t="n">
        <v>46077</v>
      </c>
      <c r="I14" s="21" t="n">
        <v>46052</v>
      </c>
      <c r="J14">
        <f>IFERROR(H14-TODAY(),"")</f>
        <v/>
      </c>
      <c r="K14">
        <f>IFERROR(MATCH(F14,Priorities,0),99)</f>
        <v/>
      </c>
      <c r="M14" t="inlineStr">
        <is>
          <t>Complete</t>
        </is>
      </c>
      <c r="N14" t="n">
        <v>2</v>
      </c>
      <c r="O14" t="inlineStr">
        <is>
          <t>Tom B.</t>
        </is>
      </c>
      <c r="Q14" t="inlineStr">
        <is>
          <t>In Progress</t>
        </is>
      </c>
      <c r="R14" t="n">
        <v>1.5</v>
      </c>
      <c r="S14" t="inlineStr">
        <is>
          <t>Tom B.</t>
        </is>
      </c>
      <c r="U14" t="inlineStr">
        <is>
          <t>Not Started</t>
        </is>
      </c>
      <c r="V14" t="n">
        <v>4</v>
      </c>
      <c r="Y14" t="inlineStr">
        <is>
          <t>Not Started</t>
        </is>
      </c>
      <c r="Z14" t="n">
        <v>4</v>
      </c>
      <c r="AC14" t="inlineStr">
        <is>
          <t>Not Started</t>
        </is>
      </c>
      <c r="AD14" t="n">
        <v>6</v>
      </c>
      <c r="AG14" t="inlineStr">
        <is>
          <t>Not Started</t>
        </is>
      </c>
      <c r="AH14" t="n">
        <v>6</v>
      </c>
      <c r="AK14" t="inlineStr">
        <is>
          <t>Not Started</t>
        </is>
      </c>
      <c r="AL14" t="n">
        <v>8</v>
      </c>
      <c r="AO14" t="inlineStr">
        <is>
          <t>Not Started</t>
        </is>
      </c>
      <c r="AP14" t="n">
        <v>8</v>
      </c>
      <c r="AS14" t="inlineStr">
        <is>
          <t>Not Started</t>
        </is>
      </c>
      <c r="AT14" t="n">
        <v>8</v>
      </c>
      <c r="AW14" t="inlineStr">
        <is>
          <t>Not Started</t>
        </is>
      </c>
      <c r="AX14" t="n">
        <v>2</v>
      </c>
      <c r="BA14" t="inlineStr">
        <is>
          <t>Not Started</t>
        </is>
      </c>
      <c r="BB14" t="n">
        <v>3</v>
      </c>
      <c r="BE14" t="inlineStr">
        <is>
          <t>Not Started</t>
        </is>
      </c>
      <c r="BF14" t="n">
        <v>5</v>
      </c>
      <c r="BI14" t="inlineStr">
        <is>
          <t>Not Started</t>
        </is>
      </c>
      <c r="BJ14" t="n">
        <v>5</v>
      </c>
    </row>
    <row r="15">
      <c r="A15" t="inlineStr">
        <is>
          <t>J-1010</t>
        </is>
      </c>
      <c r="B15" t="inlineStr">
        <is>
          <t>Burke Plant</t>
        </is>
      </c>
      <c r="C15" t="inlineStr">
        <is>
          <t>Bale Handler Single</t>
        </is>
      </c>
      <c r="D15" t="n">
        <v>6</v>
      </c>
      <c r="E15" t="inlineStr">
        <is>
          <t>BH-1000</t>
        </is>
      </c>
      <c r="F15" t="inlineStr">
        <is>
          <t>Urgent</t>
        </is>
      </c>
      <c r="G15" t="inlineStr">
        <is>
          <t>In Progress</t>
        </is>
      </c>
      <c r="H15" s="21" t="n">
        <v>46071</v>
      </c>
      <c r="I15" s="21" t="n">
        <v>46039</v>
      </c>
      <c r="J15">
        <f>IFERROR(H15-TODAY(),"")</f>
        <v/>
      </c>
      <c r="K15">
        <f>IFERROR(MATCH(F15,Priorities,0),99)</f>
        <v/>
      </c>
      <c r="M15" t="inlineStr">
        <is>
          <t>Complete</t>
        </is>
      </c>
      <c r="N15" t="n">
        <v>2</v>
      </c>
      <c r="O15" t="inlineStr">
        <is>
          <t>Sean R.</t>
        </is>
      </c>
      <c r="Q15" t="inlineStr">
        <is>
          <t>Complete</t>
        </is>
      </c>
      <c r="R15" t="n">
        <v>1.5</v>
      </c>
      <c r="S15" t="inlineStr">
        <is>
          <t>Tom B.</t>
        </is>
      </c>
      <c r="U15" t="inlineStr">
        <is>
          <t>Not Started</t>
        </is>
      </c>
      <c r="V15" t="n">
        <v>4</v>
      </c>
      <c r="Y15" t="inlineStr">
        <is>
          <t>Not Started</t>
        </is>
      </c>
      <c r="Z15" t="n">
        <v>4</v>
      </c>
      <c r="AC15" t="inlineStr">
        <is>
          <t>Complete</t>
        </is>
      </c>
      <c r="AD15" t="n">
        <v>6</v>
      </c>
      <c r="AE15" t="inlineStr">
        <is>
          <t>Declan O.</t>
        </is>
      </c>
      <c r="AG15" t="inlineStr">
        <is>
          <t>Not Started</t>
        </is>
      </c>
      <c r="AH15" t="n">
        <v>6</v>
      </c>
      <c r="AK15" t="inlineStr">
        <is>
          <t>Complete</t>
        </is>
      </c>
      <c r="AL15" t="n">
        <v>8</v>
      </c>
      <c r="AM15" t="inlineStr">
        <is>
          <t>Eoin P.</t>
        </is>
      </c>
      <c r="AO15" t="inlineStr">
        <is>
          <t>Complete</t>
        </is>
      </c>
      <c r="AP15" t="n">
        <v>8</v>
      </c>
      <c r="AQ15" t="inlineStr">
        <is>
          <t>Ciaran W.</t>
        </is>
      </c>
      <c r="AS15" t="inlineStr">
        <is>
          <t>Not Started</t>
        </is>
      </c>
      <c r="AT15" t="n">
        <v>8</v>
      </c>
      <c r="AW15" t="inlineStr">
        <is>
          <t>In Progress</t>
        </is>
      </c>
      <c r="AX15" t="n">
        <v>2</v>
      </c>
      <c r="AY15" t="inlineStr">
        <is>
          <t>Alan F.</t>
        </is>
      </c>
      <c r="BA15" t="inlineStr">
        <is>
          <t>Not Started</t>
        </is>
      </c>
      <c r="BB15" t="n">
        <v>3</v>
      </c>
      <c r="BE15" t="inlineStr">
        <is>
          <t>Not Started</t>
        </is>
      </c>
      <c r="BF15" t="n">
        <v>5</v>
      </c>
      <c r="BI15" t="inlineStr">
        <is>
          <t>Not Started</t>
        </is>
      </c>
      <c r="BJ15" t="n">
        <v>5</v>
      </c>
    </row>
    <row r="16">
      <c r="A16" t="inlineStr">
        <is>
          <t>J-1011</t>
        </is>
      </c>
      <c r="B16" t="inlineStr">
        <is>
          <t>Healy Farms</t>
        </is>
      </c>
      <c r="C16" t="inlineStr">
        <is>
          <t>Roller Flat 3m</t>
        </is>
      </c>
      <c r="D16" t="n">
        <v>2</v>
      </c>
      <c r="E16" t="inlineStr">
        <is>
          <t>RF-3000</t>
        </is>
      </c>
      <c r="F16" t="inlineStr">
        <is>
          <t>Normal</t>
        </is>
      </c>
      <c r="G16" t="inlineStr">
        <is>
          <t>Not Started</t>
        </is>
      </c>
      <c r="H16" s="21" t="n">
        <v>46084</v>
      </c>
      <c r="I16" s="21" t="n">
        <v>46062</v>
      </c>
      <c r="J16">
        <f>IFERROR(H16-TODAY(),"")</f>
        <v/>
      </c>
      <c r="K16">
        <f>IFERROR(MATCH(F16,Priorities,0),99)</f>
        <v/>
      </c>
      <c r="M16" t="inlineStr">
        <is>
          <t>Not Started</t>
        </is>
      </c>
      <c r="N16" t="n">
        <v>2</v>
      </c>
      <c r="Q16" t="inlineStr">
        <is>
          <t>Not Started</t>
        </is>
      </c>
      <c r="R16" t="n">
        <v>1.5</v>
      </c>
      <c r="U16" t="inlineStr">
        <is>
          <t>Not Started</t>
        </is>
      </c>
      <c r="V16" t="n">
        <v>4</v>
      </c>
      <c r="Y16" t="inlineStr">
        <is>
          <t>Not Started</t>
        </is>
      </c>
      <c r="Z16" t="n">
        <v>4</v>
      </c>
      <c r="AC16" t="inlineStr">
        <is>
          <t>Not Started</t>
        </is>
      </c>
      <c r="AD16" t="n">
        <v>6</v>
      </c>
      <c r="AG16" t="inlineStr">
        <is>
          <t>Not Started</t>
        </is>
      </c>
      <c r="AH16" t="n">
        <v>6</v>
      </c>
      <c r="AK16" t="inlineStr">
        <is>
          <t>Not Started</t>
        </is>
      </c>
      <c r="AL16" t="n">
        <v>8</v>
      </c>
      <c r="AO16" t="inlineStr">
        <is>
          <t>Not Started</t>
        </is>
      </c>
      <c r="AP16" t="n">
        <v>8</v>
      </c>
      <c r="AS16" t="inlineStr">
        <is>
          <t>Not Started</t>
        </is>
      </c>
      <c r="AT16" t="n">
        <v>8</v>
      </c>
      <c r="AW16" t="inlineStr">
        <is>
          <t>Not Started</t>
        </is>
      </c>
      <c r="AX16" t="n">
        <v>2</v>
      </c>
      <c r="BA16" t="inlineStr">
        <is>
          <t>Not Started</t>
        </is>
      </c>
      <c r="BB16" t="n">
        <v>3</v>
      </c>
      <c r="BE16" t="inlineStr">
        <is>
          <t>Not Started</t>
        </is>
      </c>
      <c r="BF16" t="n">
        <v>5</v>
      </c>
      <c r="BI16" t="inlineStr">
        <is>
          <t>Not Started</t>
        </is>
      </c>
      <c r="BJ16" t="n">
        <v>5</v>
      </c>
    </row>
    <row r="17">
      <c r="A17" t="inlineStr">
        <is>
          <t>J-1012</t>
        </is>
      </c>
      <c r="B17" t="inlineStr">
        <is>
          <t>Sheehan Contracting</t>
        </is>
      </c>
      <c r="C17" t="inlineStr">
        <is>
          <t>Trailer 10T Grain</t>
        </is>
      </c>
      <c r="D17" t="n">
        <v>3</v>
      </c>
      <c r="E17" t="inlineStr">
        <is>
          <t>TG-1000</t>
        </is>
      </c>
      <c r="F17" t="inlineStr">
        <is>
          <t>High</t>
        </is>
      </c>
      <c r="G17" t="inlineStr">
        <is>
          <t>In Progress</t>
        </is>
      </c>
      <c r="H17" s="21" t="n">
        <v>46074</v>
      </c>
      <c r="I17" s="21" t="n">
        <v>46046</v>
      </c>
      <c r="J17">
        <f>IFERROR(H17-TODAY(),"")</f>
        <v/>
      </c>
      <c r="K17">
        <f>IFERROR(MATCH(F17,Priorities,0),99)</f>
        <v/>
      </c>
      <c r="M17" t="inlineStr">
        <is>
          <t>Complete</t>
        </is>
      </c>
      <c r="N17" t="n">
        <v>2</v>
      </c>
      <c r="O17" t="inlineStr">
        <is>
          <t>Sean R.</t>
        </is>
      </c>
      <c r="Q17" t="inlineStr">
        <is>
          <t>Complete</t>
        </is>
      </c>
      <c r="R17" t="n">
        <v>1.5</v>
      </c>
      <c r="S17" t="inlineStr">
        <is>
          <t>Liam F.</t>
        </is>
      </c>
      <c r="U17" t="inlineStr">
        <is>
          <t>Not Started</t>
        </is>
      </c>
      <c r="V17" t="n">
        <v>4</v>
      </c>
      <c r="Y17" t="inlineStr">
        <is>
          <t>Not Started</t>
        </is>
      </c>
      <c r="Z17" t="n">
        <v>4</v>
      </c>
      <c r="AC17" t="inlineStr">
        <is>
          <t>Complete</t>
        </is>
      </c>
      <c r="AD17" t="n">
        <v>6</v>
      </c>
      <c r="AE17" t="inlineStr">
        <is>
          <t>Declan O.</t>
        </is>
      </c>
      <c r="AG17" t="inlineStr">
        <is>
          <t>Complete</t>
        </is>
      </c>
      <c r="AH17" t="n">
        <v>6</v>
      </c>
      <c r="AI17" t="inlineStr">
        <is>
          <t>Mark T.</t>
        </is>
      </c>
      <c r="AK17" t="inlineStr">
        <is>
          <t>Complete</t>
        </is>
      </c>
      <c r="AL17" t="n">
        <v>8</v>
      </c>
      <c r="AM17" t="inlineStr">
        <is>
          <t>Ciaran W.</t>
        </is>
      </c>
      <c r="AO17" t="inlineStr">
        <is>
          <t>In Progress</t>
        </is>
      </c>
      <c r="AP17" t="n">
        <v>8</v>
      </c>
      <c r="AQ17" t="inlineStr">
        <is>
          <t>Dave L.</t>
        </is>
      </c>
      <c r="AS17" t="inlineStr">
        <is>
          <t>Not Started</t>
        </is>
      </c>
      <c r="AT17" t="n">
        <v>8</v>
      </c>
      <c r="AW17" t="inlineStr">
        <is>
          <t>Not Started</t>
        </is>
      </c>
      <c r="AX17" t="n">
        <v>2</v>
      </c>
      <c r="BA17" t="inlineStr">
        <is>
          <t>Not Started</t>
        </is>
      </c>
      <c r="BB17" t="n">
        <v>3</v>
      </c>
      <c r="BE17" t="inlineStr">
        <is>
          <t>Not Started</t>
        </is>
      </c>
      <c r="BF17" t="n">
        <v>5</v>
      </c>
      <c r="BI17" t="inlineStr">
        <is>
          <t>Not Started</t>
        </is>
      </c>
      <c r="BJ17" t="n">
        <v>5</v>
      </c>
    </row>
    <row r="18">
      <c r="A18" t="inlineStr">
        <is>
          <t>J-1013</t>
        </is>
      </c>
      <c r="B18" t="inlineStr">
        <is>
          <t>O'Sullivan Plant Hire</t>
        </is>
      </c>
      <c r="C18" t="inlineStr">
        <is>
          <t>Disc Harrow 5m</t>
        </is>
      </c>
      <c r="D18" t="n">
        <v>2</v>
      </c>
      <c r="E18" t="inlineStr">
        <is>
          <t>DH-5000</t>
        </is>
      </c>
      <c r="F18" t="inlineStr">
        <is>
          <t>Low</t>
        </is>
      </c>
      <c r="G18" t="inlineStr">
        <is>
          <t>Not Started</t>
        </is>
      </c>
      <c r="H18" s="21" t="n">
        <v>46104</v>
      </c>
      <c r="I18" s="21" t="n">
        <v>46071</v>
      </c>
      <c r="J18">
        <f>IFERROR(H18-TODAY(),"")</f>
        <v/>
      </c>
      <c r="K18">
        <f>IFERROR(MATCH(F18,Priorities,0),99)</f>
        <v/>
      </c>
      <c r="M18" t="inlineStr">
        <is>
          <t>Not Started</t>
        </is>
      </c>
      <c r="N18" t="n">
        <v>2</v>
      </c>
      <c r="Q18" t="inlineStr">
        <is>
          <t>Not Started</t>
        </is>
      </c>
      <c r="R18" t="n">
        <v>1.5</v>
      </c>
      <c r="U18" t="inlineStr">
        <is>
          <t>Not Started</t>
        </is>
      </c>
      <c r="V18" t="n">
        <v>4</v>
      </c>
      <c r="Y18" t="inlineStr">
        <is>
          <t>Not Started</t>
        </is>
      </c>
      <c r="Z18" t="n">
        <v>4</v>
      </c>
      <c r="AC18" t="inlineStr">
        <is>
          <t>Not Started</t>
        </is>
      </c>
      <c r="AD18" t="n">
        <v>6</v>
      </c>
      <c r="AG18" t="inlineStr">
        <is>
          <t>Not Started</t>
        </is>
      </c>
      <c r="AH18" t="n">
        <v>6</v>
      </c>
      <c r="AK18" t="inlineStr">
        <is>
          <t>Not Started</t>
        </is>
      </c>
      <c r="AL18" t="n">
        <v>8</v>
      </c>
      <c r="AO18" t="inlineStr">
        <is>
          <t>Not Started</t>
        </is>
      </c>
      <c r="AP18" t="n">
        <v>8</v>
      </c>
      <c r="AS18" t="inlineStr">
        <is>
          <t>Not Started</t>
        </is>
      </c>
      <c r="AT18" t="n">
        <v>8</v>
      </c>
      <c r="AW18" t="inlineStr">
        <is>
          <t>Not Started</t>
        </is>
      </c>
      <c r="AX18" t="n">
        <v>2</v>
      </c>
      <c r="BA18" t="inlineStr">
        <is>
          <t>Not Started</t>
        </is>
      </c>
      <c r="BB18" t="n">
        <v>3</v>
      </c>
      <c r="BE18" t="inlineStr">
        <is>
          <t>Not Started</t>
        </is>
      </c>
      <c r="BF18" t="n">
        <v>5</v>
      </c>
      <c r="BI18" t="inlineStr">
        <is>
          <t>Not Started</t>
        </is>
      </c>
      <c r="BJ18" t="n">
        <v>5</v>
      </c>
    </row>
    <row r="19">
      <c r="A19" t="inlineStr">
        <is>
          <t>J-1014</t>
        </is>
      </c>
      <c r="B19" t="inlineStr">
        <is>
          <t>Cronin Agri</t>
        </is>
      </c>
      <c r="C19" t="inlineStr">
        <is>
          <t>Muck Spreader 10T</t>
        </is>
      </c>
      <c r="D19" t="n">
        <v>1</v>
      </c>
      <c r="E19" t="inlineStr">
        <is>
          <t>MS-A000</t>
        </is>
      </c>
      <c r="F19" t="inlineStr">
        <is>
          <t>High</t>
        </is>
      </c>
      <c r="G19" t="inlineStr">
        <is>
          <t>Waiting Materials</t>
        </is>
      </c>
      <c r="H19" s="21" t="n">
        <v>46076</v>
      </c>
      <c r="I19" s="21" t="n">
        <v>46054</v>
      </c>
      <c r="J19">
        <f>IFERROR(H19-TODAY(),"")</f>
        <v/>
      </c>
      <c r="K19">
        <f>IFERROR(MATCH(F19,Priorities,0),99)</f>
        <v/>
      </c>
      <c r="M19" t="inlineStr">
        <is>
          <t>Waiting Materials</t>
        </is>
      </c>
      <c r="N19" t="n">
        <v>2</v>
      </c>
      <c r="O19" t="inlineStr">
        <is>
          <t>Tom B.</t>
        </is>
      </c>
      <c r="Q19" t="inlineStr">
        <is>
          <t>Not Started</t>
        </is>
      </c>
      <c r="R19" t="n">
        <v>1.5</v>
      </c>
      <c r="U19" t="inlineStr">
        <is>
          <t>Not Started</t>
        </is>
      </c>
      <c r="V19" t="n">
        <v>4</v>
      </c>
      <c r="Y19" t="inlineStr">
        <is>
          <t>Not Started</t>
        </is>
      </c>
      <c r="Z19" t="n">
        <v>4</v>
      </c>
      <c r="AC19" t="inlineStr">
        <is>
          <t>Not Started</t>
        </is>
      </c>
      <c r="AD19" t="n">
        <v>6</v>
      </c>
      <c r="AG19" t="inlineStr">
        <is>
          <t>Not Started</t>
        </is>
      </c>
      <c r="AH19" t="n">
        <v>6</v>
      </c>
      <c r="AK19" t="inlineStr">
        <is>
          <t>Not Started</t>
        </is>
      </c>
      <c r="AL19" t="n">
        <v>8</v>
      </c>
      <c r="AO19" t="inlineStr">
        <is>
          <t>Not Started</t>
        </is>
      </c>
      <c r="AP19" t="n">
        <v>8</v>
      </c>
      <c r="AS19" t="inlineStr">
        <is>
          <t>Not Started</t>
        </is>
      </c>
      <c r="AT19" t="n">
        <v>8</v>
      </c>
      <c r="AW19" t="inlineStr">
        <is>
          <t>Not Started</t>
        </is>
      </c>
      <c r="AX19" t="n">
        <v>2</v>
      </c>
      <c r="BA19" t="inlineStr">
        <is>
          <t>Not Started</t>
        </is>
      </c>
      <c r="BB19" t="n">
        <v>3</v>
      </c>
      <c r="BE19" t="inlineStr">
        <is>
          <t>Not Started</t>
        </is>
      </c>
      <c r="BF19" t="n">
        <v>5</v>
      </c>
      <c r="BI19" t="inlineStr">
        <is>
          <t>Not Started</t>
        </is>
      </c>
      <c r="BJ19" t="n">
        <v>5</v>
      </c>
    </row>
    <row r="20">
      <c r="A20" t="inlineStr">
        <is>
          <t>J-1015</t>
        </is>
      </c>
      <c r="B20" t="inlineStr">
        <is>
          <t>McCarthy Farm Equip</t>
        </is>
      </c>
      <c r="C20" t="inlineStr">
        <is>
          <t>Subsoiler 3-Leg</t>
        </is>
      </c>
      <c r="D20" t="n">
        <v>4</v>
      </c>
      <c r="E20" t="inlineStr">
        <is>
          <t>SS-0300</t>
        </is>
      </c>
      <c r="F20" t="inlineStr">
        <is>
          <t>Normal</t>
        </is>
      </c>
      <c r="G20" t="inlineStr">
        <is>
          <t>Not Started</t>
        </is>
      </c>
      <c r="H20" s="21" t="n">
        <v>46092</v>
      </c>
      <c r="I20" s="21" t="n">
        <v>46066</v>
      </c>
      <c r="J20">
        <f>IFERROR(H20-TODAY(),"")</f>
        <v/>
      </c>
      <c r="K20">
        <f>IFERROR(MATCH(F20,Priorities,0),99)</f>
        <v/>
      </c>
      <c r="M20" t="inlineStr">
        <is>
          <t>Not Started</t>
        </is>
      </c>
      <c r="N20" t="n">
        <v>2</v>
      </c>
      <c r="Q20" t="inlineStr">
        <is>
          <t>Not Started</t>
        </is>
      </c>
      <c r="R20" t="n">
        <v>1.5</v>
      </c>
      <c r="U20" t="inlineStr">
        <is>
          <t>Not Started</t>
        </is>
      </c>
      <c r="V20" t="n">
        <v>4</v>
      </c>
      <c r="Y20" t="inlineStr">
        <is>
          <t>Not Started</t>
        </is>
      </c>
      <c r="Z20" t="n">
        <v>4</v>
      </c>
      <c r="AC20" t="inlineStr">
        <is>
          <t>Not Started</t>
        </is>
      </c>
      <c r="AD20" t="n">
        <v>6</v>
      </c>
      <c r="AG20" t="inlineStr">
        <is>
          <t>Not Started</t>
        </is>
      </c>
      <c r="AH20" t="n">
        <v>6</v>
      </c>
      <c r="AK20" t="inlineStr">
        <is>
          <t>Not Started</t>
        </is>
      </c>
      <c r="AL20" t="n">
        <v>8</v>
      </c>
      <c r="AO20" t="inlineStr">
        <is>
          <t>Not Started</t>
        </is>
      </c>
      <c r="AP20" t="n">
        <v>8</v>
      </c>
      <c r="AS20" t="inlineStr">
        <is>
          <t>Not Started</t>
        </is>
      </c>
      <c r="AT20" t="n">
        <v>8</v>
      </c>
      <c r="AW20" t="inlineStr">
        <is>
          <t>Not Started</t>
        </is>
      </c>
      <c r="AX20" t="n">
        <v>2</v>
      </c>
      <c r="BA20" t="inlineStr">
        <is>
          <t>Not Started</t>
        </is>
      </c>
      <c r="BB20" t="n">
        <v>3</v>
      </c>
      <c r="BE20" t="inlineStr">
        <is>
          <t>Not Started</t>
        </is>
      </c>
      <c r="BF20" t="n">
        <v>5</v>
      </c>
      <c r="BI20" t="inlineStr">
        <is>
          <t>Not Started</t>
        </is>
      </c>
      <c r="BJ20" t="n">
        <v>5</v>
      </c>
    </row>
    <row r="21">
      <c r="A21" t="inlineStr">
        <is>
          <t>J-1016</t>
        </is>
      </c>
      <c r="B21" t="inlineStr">
        <is>
          <t>Power Agri Ltd</t>
        </is>
      </c>
      <c r="C21" t="inlineStr">
        <is>
          <t>Bale Handler Triple</t>
        </is>
      </c>
      <c r="D21" t="n">
        <v>2</v>
      </c>
      <c r="E21" t="inlineStr">
        <is>
          <t>BH-3000</t>
        </is>
      </c>
      <c r="F21" t="inlineStr">
        <is>
          <t>Urgent</t>
        </is>
      </c>
      <c r="G21" t="inlineStr">
        <is>
          <t>In Progress</t>
        </is>
      </c>
      <c r="H21" s="21" t="n">
        <v>46073</v>
      </c>
      <c r="I21" s="21" t="n">
        <v>46029</v>
      </c>
      <c r="J21">
        <f>IFERROR(H21-TODAY(),"")</f>
        <v/>
      </c>
      <c r="K21">
        <f>IFERROR(MATCH(F21,Priorities,0),99)</f>
        <v/>
      </c>
      <c r="M21" t="inlineStr">
        <is>
          <t>Complete</t>
        </is>
      </c>
      <c r="N21" t="n">
        <v>2</v>
      </c>
      <c r="O21" t="inlineStr">
        <is>
          <t>Sean R.</t>
        </is>
      </c>
      <c r="Q21" t="inlineStr">
        <is>
          <t>Complete</t>
        </is>
      </c>
      <c r="R21" t="n">
        <v>1.5</v>
      </c>
      <c r="S21" t="inlineStr">
        <is>
          <t>Liam F.</t>
        </is>
      </c>
      <c r="U21" t="inlineStr">
        <is>
          <t>Complete</t>
        </is>
      </c>
      <c r="V21" t="n">
        <v>4</v>
      </c>
      <c r="W21" t="inlineStr">
        <is>
          <t>Pat M.</t>
        </is>
      </c>
      <c r="Y21" t="inlineStr">
        <is>
          <t>Complete</t>
        </is>
      </c>
      <c r="Z21" t="n">
        <v>4</v>
      </c>
      <c r="AA21" t="inlineStr">
        <is>
          <t>Pat M.</t>
        </is>
      </c>
      <c r="AC21" t="inlineStr">
        <is>
          <t>Complete</t>
        </is>
      </c>
      <c r="AD21" t="n">
        <v>6</v>
      </c>
      <c r="AE21" t="inlineStr">
        <is>
          <t>Declan O.</t>
        </is>
      </c>
      <c r="AG21" t="inlineStr">
        <is>
          <t>Complete</t>
        </is>
      </c>
      <c r="AH21" t="n">
        <v>6</v>
      </c>
      <c r="AI21" t="inlineStr">
        <is>
          <t>Declan O.</t>
        </is>
      </c>
      <c r="AK21" t="inlineStr">
        <is>
          <t>Complete</t>
        </is>
      </c>
      <c r="AL21" t="n">
        <v>8</v>
      </c>
      <c r="AM21" t="inlineStr">
        <is>
          <t>Eoin P.</t>
        </is>
      </c>
      <c r="AO21" t="inlineStr">
        <is>
          <t>Complete</t>
        </is>
      </c>
      <c r="AP21" t="n">
        <v>8</v>
      </c>
      <c r="AQ21" t="inlineStr">
        <is>
          <t>Ciaran W.</t>
        </is>
      </c>
      <c r="AS21" t="inlineStr">
        <is>
          <t>Complete</t>
        </is>
      </c>
      <c r="AT21" t="n">
        <v>8</v>
      </c>
      <c r="AU21" t="inlineStr">
        <is>
          <t>Shane C.</t>
        </is>
      </c>
      <c r="AW21" t="inlineStr">
        <is>
          <t>Complete</t>
        </is>
      </c>
      <c r="AX21" t="n">
        <v>2</v>
      </c>
      <c r="AY21" t="inlineStr">
        <is>
          <t>Paul G.</t>
        </is>
      </c>
      <c r="BA21" t="inlineStr">
        <is>
          <t>In Progress</t>
        </is>
      </c>
      <c r="BB21" t="n">
        <v>3</v>
      </c>
      <c r="BC21" t="inlineStr">
        <is>
          <t>Ger M.</t>
        </is>
      </c>
      <c r="BE21" t="inlineStr">
        <is>
          <t>Not Started</t>
        </is>
      </c>
      <c r="BF21" t="n">
        <v>5</v>
      </c>
      <c r="BI21" t="inlineStr">
        <is>
          <t>Not Started</t>
        </is>
      </c>
      <c r="BJ21" t="n">
        <v>5</v>
      </c>
    </row>
    <row r="22">
      <c r="A22" t="inlineStr">
        <is>
          <t>J-1017</t>
        </is>
      </c>
      <c r="B22" t="inlineStr">
        <is>
          <t>Nolan Plant</t>
        </is>
      </c>
      <c r="C22" t="inlineStr">
        <is>
          <t>Roller Cambridge 6m</t>
        </is>
      </c>
      <c r="D22" t="n">
        <v>1</v>
      </c>
      <c r="E22" t="inlineStr">
        <is>
          <t>RC-6000</t>
        </is>
      </c>
      <c r="F22" t="inlineStr">
        <is>
          <t>Normal</t>
        </is>
      </c>
      <c r="G22" t="inlineStr">
        <is>
          <t>Not Started</t>
        </is>
      </c>
      <c r="H22" s="21" t="n">
        <v>46099</v>
      </c>
      <c r="I22" s="21" t="n">
        <v>46068</v>
      </c>
      <c r="J22">
        <f>IFERROR(H22-TODAY(),"")</f>
        <v/>
      </c>
      <c r="K22">
        <f>IFERROR(MATCH(F22,Priorities,0),99)</f>
        <v/>
      </c>
      <c r="M22" t="inlineStr">
        <is>
          <t>Not Started</t>
        </is>
      </c>
      <c r="N22" t="n">
        <v>2</v>
      </c>
      <c r="Q22" t="inlineStr">
        <is>
          <t>Not Started</t>
        </is>
      </c>
      <c r="R22" t="n">
        <v>1.5</v>
      </c>
      <c r="U22" t="inlineStr">
        <is>
          <t>Not Started</t>
        </is>
      </c>
      <c r="V22" t="n">
        <v>4</v>
      </c>
      <c r="Y22" t="inlineStr">
        <is>
          <t>Not Started</t>
        </is>
      </c>
      <c r="Z22" t="n">
        <v>4</v>
      </c>
      <c r="AC22" t="inlineStr">
        <is>
          <t>Not Started</t>
        </is>
      </c>
      <c r="AD22" t="n">
        <v>6</v>
      </c>
      <c r="AG22" t="inlineStr">
        <is>
          <t>Not Started</t>
        </is>
      </c>
      <c r="AH22" t="n">
        <v>6</v>
      </c>
      <c r="AK22" t="inlineStr">
        <is>
          <t>Not Started</t>
        </is>
      </c>
      <c r="AL22" t="n">
        <v>8</v>
      </c>
      <c r="AO22" t="inlineStr">
        <is>
          <t>Not Started</t>
        </is>
      </c>
      <c r="AP22" t="n">
        <v>8</v>
      </c>
      <c r="AS22" t="inlineStr">
        <is>
          <t>Not Started</t>
        </is>
      </c>
      <c r="AT22" t="n">
        <v>8</v>
      </c>
      <c r="AW22" t="inlineStr">
        <is>
          <t>Not Started</t>
        </is>
      </c>
      <c r="AX22" t="n">
        <v>2</v>
      </c>
      <c r="BA22" t="inlineStr">
        <is>
          <t>Not Started</t>
        </is>
      </c>
      <c r="BB22" t="n">
        <v>3</v>
      </c>
      <c r="BE22" t="inlineStr">
        <is>
          <t>Not Started</t>
        </is>
      </c>
      <c r="BF22" t="n">
        <v>5</v>
      </c>
      <c r="BI22" t="inlineStr">
        <is>
          <t>Not Started</t>
        </is>
      </c>
      <c r="BJ22" t="n">
        <v>5</v>
      </c>
    </row>
    <row r="23">
      <c r="A23" t="inlineStr">
        <is>
          <t>J-1018</t>
        </is>
      </c>
      <c r="B23" t="inlineStr">
        <is>
          <t>Treacy Agri Supplies</t>
        </is>
      </c>
      <c r="C23" t="inlineStr">
        <is>
          <t>Trailer 16T Grain</t>
        </is>
      </c>
      <c r="D23" t="n">
        <v>2</v>
      </c>
      <c r="E23" t="inlineStr">
        <is>
          <t>TG-1600</t>
        </is>
      </c>
      <c r="F23" t="inlineStr">
        <is>
          <t>High</t>
        </is>
      </c>
      <c r="G23" t="inlineStr">
        <is>
          <t>On Hold</t>
        </is>
      </c>
      <c r="H23" s="21" t="n">
        <v>46077</v>
      </c>
      <c r="I23" s="21" t="n">
        <v>46042</v>
      </c>
      <c r="J23">
        <f>IFERROR(H23-TODAY(),"")</f>
        <v/>
      </c>
      <c r="K23">
        <f>IFERROR(MATCH(F23,Priorities,0),99)</f>
        <v/>
      </c>
      <c r="M23" t="inlineStr">
        <is>
          <t>Complete</t>
        </is>
      </c>
      <c r="N23" t="n">
        <v>2</v>
      </c>
      <c r="O23" t="inlineStr">
        <is>
          <t>Sean R.</t>
        </is>
      </c>
      <c r="Q23" t="inlineStr">
        <is>
          <t>Complete</t>
        </is>
      </c>
      <c r="R23" t="n">
        <v>1.5</v>
      </c>
      <c r="S23" t="inlineStr">
        <is>
          <t>Liam F.</t>
        </is>
      </c>
      <c r="U23" t="inlineStr">
        <is>
          <t>Not Started</t>
        </is>
      </c>
      <c r="V23" t="n">
        <v>4</v>
      </c>
      <c r="Y23" t="inlineStr">
        <is>
          <t>Not Started</t>
        </is>
      </c>
      <c r="Z23" t="n">
        <v>4</v>
      </c>
      <c r="AC23" t="inlineStr">
        <is>
          <t>On Hold</t>
        </is>
      </c>
      <c r="AD23" t="n">
        <v>6</v>
      </c>
      <c r="AE23" t="inlineStr">
        <is>
          <t>Brian S.</t>
        </is>
      </c>
      <c r="AG23" t="inlineStr">
        <is>
          <t>Not Started</t>
        </is>
      </c>
      <c r="AH23" t="n">
        <v>6</v>
      </c>
      <c r="AK23" t="inlineStr">
        <is>
          <t>Not Started</t>
        </is>
      </c>
      <c r="AL23" t="n">
        <v>8</v>
      </c>
      <c r="AO23" t="inlineStr">
        <is>
          <t>Not Started</t>
        </is>
      </c>
      <c r="AP23" t="n">
        <v>8</v>
      </c>
      <c r="AS23" t="inlineStr">
        <is>
          <t>Not Started</t>
        </is>
      </c>
      <c r="AT23" t="n">
        <v>8</v>
      </c>
      <c r="AW23" t="inlineStr">
        <is>
          <t>Not Started</t>
        </is>
      </c>
      <c r="AX23" t="n">
        <v>2</v>
      </c>
      <c r="BA23" t="inlineStr">
        <is>
          <t>Not Started</t>
        </is>
      </c>
      <c r="BB23" t="n">
        <v>3</v>
      </c>
      <c r="BE23" t="inlineStr">
        <is>
          <t>Not Started</t>
        </is>
      </c>
      <c r="BF23" t="n">
        <v>5</v>
      </c>
      <c r="BI23" t="inlineStr">
        <is>
          <t>Not Started</t>
        </is>
      </c>
      <c r="BJ23" t="n">
        <v>5</v>
      </c>
    </row>
    <row r="24">
      <c r="A24" t="inlineStr">
        <is>
          <t>J-1019</t>
        </is>
      </c>
      <c r="B24" t="inlineStr">
        <is>
          <t>Delaney Farms</t>
        </is>
      </c>
      <c r="C24" t="inlineStr">
        <is>
          <t>Disc Harrow 6m</t>
        </is>
      </c>
      <c r="D24" t="n">
        <v>1</v>
      </c>
      <c r="E24" t="inlineStr">
        <is>
          <t>DH-6000</t>
        </is>
      </c>
      <c r="F24" t="inlineStr">
        <is>
          <t>Low</t>
        </is>
      </c>
      <c r="G24" t="inlineStr">
        <is>
          <t>Not Started</t>
        </is>
      </c>
      <c r="H24" s="21" t="n">
        <v>46119</v>
      </c>
      <c r="I24" s="21" t="n">
        <v>46072</v>
      </c>
      <c r="J24">
        <f>IFERROR(H24-TODAY(),"")</f>
        <v/>
      </c>
      <c r="K24">
        <f>IFERROR(MATCH(F24,Priorities,0),99)</f>
        <v/>
      </c>
      <c r="M24" t="inlineStr">
        <is>
          <t>Not Started</t>
        </is>
      </c>
      <c r="N24" t="n">
        <v>2</v>
      </c>
      <c r="Q24" t="inlineStr">
        <is>
          <t>Not Started</t>
        </is>
      </c>
      <c r="R24" t="n">
        <v>1.5</v>
      </c>
      <c r="U24" t="inlineStr">
        <is>
          <t>Not Started</t>
        </is>
      </c>
      <c r="V24" t="n">
        <v>4</v>
      </c>
      <c r="Y24" t="inlineStr">
        <is>
          <t>Not Started</t>
        </is>
      </c>
      <c r="Z24" t="n">
        <v>4</v>
      </c>
      <c r="AC24" t="inlineStr">
        <is>
          <t>Not Started</t>
        </is>
      </c>
      <c r="AD24" t="n">
        <v>6</v>
      </c>
      <c r="AG24" t="inlineStr">
        <is>
          <t>Not Started</t>
        </is>
      </c>
      <c r="AH24" t="n">
        <v>6</v>
      </c>
      <c r="AK24" t="inlineStr">
        <is>
          <t>Not Started</t>
        </is>
      </c>
      <c r="AL24" t="n">
        <v>8</v>
      </c>
      <c r="AO24" t="inlineStr">
        <is>
          <t>Not Started</t>
        </is>
      </c>
      <c r="AP24" t="n">
        <v>8</v>
      </c>
      <c r="AS24" t="inlineStr">
        <is>
          <t>Not Started</t>
        </is>
      </c>
      <c r="AT24" t="n">
        <v>8</v>
      </c>
      <c r="AW24" t="inlineStr">
        <is>
          <t>Not Started</t>
        </is>
      </c>
      <c r="AX24" t="n">
        <v>2</v>
      </c>
      <c r="BA24" t="inlineStr">
        <is>
          <t>Not Started</t>
        </is>
      </c>
      <c r="BB24" t="n">
        <v>3</v>
      </c>
      <c r="BE24" t="inlineStr">
        <is>
          <t>Not Started</t>
        </is>
      </c>
      <c r="BF24" t="n">
        <v>5</v>
      </c>
      <c r="BI24" t="inlineStr">
        <is>
          <t>Not Started</t>
        </is>
      </c>
      <c r="BJ24" t="n">
        <v>5</v>
      </c>
    </row>
    <row r="25">
      <c r="A25" t="inlineStr">
        <is>
          <t>J-1020</t>
        </is>
      </c>
      <c r="B25" t="inlineStr">
        <is>
          <t>Flynn Contracting</t>
        </is>
      </c>
      <c r="C25" t="inlineStr">
        <is>
          <t>Muck Spreader 4T</t>
        </is>
      </c>
      <c r="D25" t="n">
        <v>3</v>
      </c>
      <c r="E25" t="inlineStr">
        <is>
          <t>MS-4000</t>
        </is>
      </c>
      <c r="F25" t="inlineStr">
        <is>
          <t>Normal</t>
        </is>
      </c>
      <c r="G25" t="inlineStr">
        <is>
          <t>In Progress</t>
        </is>
      </c>
      <c r="H25" s="21" t="n">
        <v>46080</v>
      </c>
      <c r="I25" s="21" t="n">
        <v>46060</v>
      </c>
      <c r="J25">
        <f>IFERROR(H25-TODAY(),"")</f>
        <v/>
      </c>
      <c r="K25">
        <f>IFERROR(MATCH(F25,Priorities,0),99)</f>
        <v/>
      </c>
      <c r="M25" t="inlineStr">
        <is>
          <t>Complete</t>
        </is>
      </c>
      <c r="N25" t="n">
        <v>2</v>
      </c>
      <c r="O25" t="inlineStr">
        <is>
          <t>Tom B.</t>
        </is>
      </c>
      <c r="Q25" t="inlineStr">
        <is>
          <t>In Progress</t>
        </is>
      </c>
      <c r="R25" t="n">
        <v>1.5</v>
      </c>
      <c r="S25" t="inlineStr">
        <is>
          <t>Liam F.</t>
        </is>
      </c>
      <c r="U25" t="inlineStr">
        <is>
          <t>Not Started</t>
        </is>
      </c>
      <c r="V25" t="n">
        <v>4</v>
      </c>
      <c r="Y25" t="inlineStr">
        <is>
          <t>Not Started</t>
        </is>
      </c>
      <c r="Z25" t="n">
        <v>4</v>
      </c>
      <c r="AC25" t="inlineStr">
        <is>
          <t>Not Started</t>
        </is>
      </c>
      <c r="AD25" t="n">
        <v>6</v>
      </c>
      <c r="AG25" t="inlineStr">
        <is>
          <t>Not Started</t>
        </is>
      </c>
      <c r="AH25" t="n">
        <v>6</v>
      </c>
      <c r="AK25" t="inlineStr">
        <is>
          <t>Not Started</t>
        </is>
      </c>
      <c r="AL25" t="n">
        <v>8</v>
      </c>
      <c r="AO25" t="inlineStr">
        <is>
          <t>Not Started</t>
        </is>
      </c>
      <c r="AP25" t="n">
        <v>8</v>
      </c>
      <c r="AS25" t="inlineStr">
        <is>
          <t>Not Started</t>
        </is>
      </c>
      <c r="AT25" t="n">
        <v>8</v>
      </c>
      <c r="AW25" t="inlineStr">
        <is>
          <t>Not Started</t>
        </is>
      </c>
      <c r="AX25" t="n">
        <v>2</v>
      </c>
      <c r="BA25" t="inlineStr">
        <is>
          <t>Not Started</t>
        </is>
      </c>
      <c r="BB25" t="n">
        <v>3</v>
      </c>
      <c r="BE25" t="inlineStr">
        <is>
          <t>Not Started</t>
        </is>
      </c>
      <c r="BF25" t="n">
        <v>5</v>
      </c>
      <c r="BI25" t="inlineStr">
        <is>
          <t>Not Started</t>
        </is>
      </c>
      <c r="BJ25" t="n">
        <v>5</v>
      </c>
    </row>
    <row r="26">
      <c r="A26" t="inlineStr">
        <is>
          <t>J-1021</t>
        </is>
      </c>
      <c r="B26" t="inlineStr">
        <is>
          <t>Higgins Farm Mach.</t>
        </is>
      </c>
      <c r="C26" t="inlineStr">
        <is>
          <t>Subsoiler 9-Leg</t>
        </is>
      </c>
      <c r="D26" t="n">
        <v>1</v>
      </c>
      <c r="E26" t="inlineStr">
        <is>
          <t>SS-0900</t>
        </is>
      </c>
      <c r="F26" t="inlineStr">
        <is>
          <t>High</t>
        </is>
      </c>
      <c r="G26" t="inlineStr">
        <is>
          <t>In Progress</t>
        </is>
      </c>
      <c r="H26" s="21" t="n">
        <v>46075</v>
      </c>
      <c r="I26" s="21" t="n">
        <v>46048</v>
      </c>
      <c r="J26">
        <f>IFERROR(H26-TODAY(),"")</f>
        <v/>
      </c>
      <c r="K26">
        <f>IFERROR(MATCH(F26,Priorities,0),99)</f>
        <v/>
      </c>
      <c r="M26" t="inlineStr">
        <is>
          <t>Complete</t>
        </is>
      </c>
      <c r="N26" t="n">
        <v>2</v>
      </c>
      <c r="O26" t="inlineStr">
        <is>
          <t>Sean R.</t>
        </is>
      </c>
      <c r="Q26" t="inlineStr">
        <is>
          <t>Complete</t>
        </is>
      </c>
      <c r="R26" t="n">
        <v>1.5</v>
      </c>
      <c r="S26" t="inlineStr">
        <is>
          <t>Tom B.</t>
        </is>
      </c>
      <c r="U26" t="inlineStr">
        <is>
          <t>Complete</t>
        </is>
      </c>
      <c r="V26" t="n">
        <v>4</v>
      </c>
      <c r="W26" t="inlineStr">
        <is>
          <t>Kevin D.</t>
        </is>
      </c>
      <c r="Y26" t="inlineStr">
        <is>
          <t>Not Started</t>
        </is>
      </c>
      <c r="Z26" t="n">
        <v>4</v>
      </c>
      <c r="AC26" t="inlineStr">
        <is>
          <t>In Progress</t>
        </is>
      </c>
      <c r="AD26" t="n">
        <v>6</v>
      </c>
      <c r="AE26" t="inlineStr">
        <is>
          <t>Declan O.</t>
        </is>
      </c>
      <c r="AG26" t="inlineStr">
        <is>
          <t>Not Started</t>
        </is>
      </c>
      <c r="AH26" t="n">
        <v>6</v>
      </c>
      <c r="AK26" t="inlineStr">
        <is>
          <t>Not Started</t>
        </is>
      </c>
      <c r="AL26" t="n">
        <v>8</v>
      </c>
      <c r="AO26" t="inlineStr">
        <is>
          <t>Not Started</t>
        </is>
      </c>
      <c r="AP26" t="n">
        <v>8</v>
      </c>
      <c r="AS26" t="inlineStr">
        <is>
          <t>Not Started</t>
        </is>
      </c>
      <c r="AT26" t="n">
        <v>8</v>
      </c>
      <c r="AW26" t="inlineStr">
        <is>
          <t>Not Started</t>
        </is>
      </c>
      <c r="AX26" t="n">
        <v>2</v>
      </c>
      <c r="BA26" t="inlineStr">
        <is>
          <t>Not Started</t>
        </is>
      </c>
      <c r="BB26" t="n">
        <v>3</v>
      </c>
      <c r="BE26" t="inlineStr">
        <is>
          <t>Not Started</t>
        </is>
      </c>
      <c r="BF26" t="n">
        <v>5</v>
      </c>
      <c r="BI26" t="inlineStr">
        <is>
          <t>Not Started</t>
        </is>
      </c>
      <c r="BJ26" t="n">
        <v>5</v>
      </c>
    </row>
    <row r="27">
      <c r="A27" t="inlineStr">
        <is>
          <t>J-1022</t>
        </is>
      </c>
      <c r="B27" t="inlineStr">
        <is>
          <t>Egan Plant Hire</t>
        </is>
      </c>
      <c r="C27" t="inlineStr">
        <is>
          <t>Bale Handler Twin XL</t>
        </is>
      </c>
      <c r="D27" t="n">
        <v>2</v>
      </c>
      <c r="E27" t="inlineStr">
        <is>
          <t>BH-2100</t>
        </is>
      </c>
      <c r="F27" t="inlineStr">
        <is>
          <t>Normal</t>
        </is>
      </c>
      <c r="G27" t="inlineStr">
        <is>
          <t>Not Started</t>
        </is>
      </c>
      <c r="H27" s="21" t="n">
        <v>46086</v>
      </c>
      <c r="I27" s="21" t="n">
        <v>46065</v>
      </c>
      <c r="J27">
        <f>IFERROR(H27-TODAY(),"")</f>
        <v/>
      </c>
      <c r="K27">
        <f>IFERROR(MATCH(F27,Priorities,0),99)</f>
        <v/>
      </c>
      <c r="M27" t="inlineStr">
        <is>
          <t>Not Started</t>
        </is>
      </c>
      <c r="N27" t="n">
        <v>2</v>
      </c>
      <c r="Q27" t="inlineStr">
        <is>
          <t>Not Started</t>
        </is>
      </c>
      <c r="R27" t="n">
        <v>1.5</v>
      </c>
      <c r="U27" t="inlineStr">
        <is>
          <t>Not Started</t>
        </is>
      </c>
      <c r="V27" t="n">
        <v>4</v>
      </c>
      <c r="Y27" t="inlineStr">
        <is>
          <t>Not Started</t>
        </is>
      </c>
      <c r="Z27" t="n">
        <v>4</v>
      </c>
      <c r="AC27" t="inlineStr">
        <is>
          <t>Not Started</t>
        </is>
      </c>
      <c r="AD27" t="n">
        <v>6</v>
      </c>
      <c r="AG27" t="inlineStr">
        <is>
          <t>Not Started</t>
        </is>
      </c>
      <c r="AH27" t="n">
        <v>6</v>
      </c>
      <c r="AK27" t="inlineStr">
        <is>
          <t>Not Started</t>
        </is>
      </c>
      <c r="AL27" t="n">
        <v>8</v>
      </c>
      <c r="AO27" t="inlineStr">
        <is>
          <t>Not Started</t>
        </is>
      </c>
      <c r="AP27" t="n">
        <v>8</v>
      </c>
      <c r="AS27" t="inlineStr">
        <is>
          <t>Not Started</t>
        </is>
      </c>
      <c r="AT27" t="n">
        <v>8</v>
      </c>
      <c r="AW27" t="inlineStr">
        <is>
          <t>Not Started</t>
        </is>
      </c>
      <c r="AX27" t="n">
        <v>2</v>
      </c>
      <c r="BA27" t="inlineStr">
        <is>
          <t>Not Started</t>
        </is>
      </c>
      <c r="BB27" t="n">
        <v>3</v>
      </c>
      <c r="BE27" t="inlineStr">
        <is>
          <t>Not Started</t>
        </is>
      </c>
      <c r="BF27" t="n">
        <v>5</v>
      </c>
      <c r="BI27" t="inlineStr">
        <is>
          <t>Not Started</t>
        </is>
      </c>
      <c r="BJ27" t="n">
        <v>5</v>
      </c>
    </row>
    <row r="28">
      <c r="A28" t="inlineStr">
        <is>
          <t>J-1023</t>
        </is>
      </c>
      <c r="B28" t="inlineStr">
        <is>
          <t>Ryan Agri</t>
        </is>
      </c>
      <c r="C28" t="inlineStr">
        <is>
          <t>Roller Flat 5m</t>
        </is>
      </c>
      <c r="D28" t="n">
        <v>2</v>
      </c>
      <c r="E28" t="inlineStr">
        <is>
          <t>RF-5000</t>
        </is>
      </c>
      <c r="F28" t="inlineStr">
        <is>
          <t>Urgent</t>
        </is>
      </c>
      <c r="G28" t="inlineStr">
        <is>
          <t>Complete</t>
        </is>
      </c>
      <c r="H28" s="21" t="n">
        <v>46068</v>
      </c>
      <c r="I28" s="21" t="n">
        <v>46024</v>
      </c>
      <c r="J28">
        <f>IFERROR(H28-TODAY(),"")</f>
        <v/>
      </c>
      <c r="K28">
        <f>IFERROR(MATCH(F28,Priorities,0),99)</f>
        <v/>
      </c>
      <c r="M28" t="inlineStr">
        <is>
          <t>Complete</t>
        </is>
      </c>
      <c r="N28" t="n">
        <v>2</v>
      </c>
      <c r="O28" t="inlineStr">
        <is>
          <t>Tom B.</t>
        </is>
      </c>
      <c r="Q28" t="inlineStr">
        <is>
          <t>Complete</t>
        </is>
      </c>
      <c r="R28" t="n">
        <v>1.5</v>
      </c>
      <c r="S28" t="inlineStr">
        <is>
          <t>Tom B.</t>
        </is>
      </c>
      <c r="U28" t="inlineStr">
        <is>
          <t>Not Started</t>
        </is>
      </c>
      <c r="V28" t="n">
        <v>4</v>
      </c>
      <c r="Y28" t="inlineStr">
        <is>
          <t>Not Started</t>
        </is>
      </c>
      <c r="Z28" t="n">
        <v>4</v>
      </c>
      <c r="AC28" t="inlineStr">
        <is>
          <t>Complete</t>
        </is>
      </c>
      <c r="AD28" t="n">
        <v>6</v>
      </c>
      <c r="AE28" t="inlineStr">
        <is>
          <t>Declan O.</t>
        </is>
      </c>
      <c r="AG28" t="inlineStr">
        <is>
          <t>Complete</t>
        </is>
      </c>
      <c r="AH28" t="n">
        <v>6</v>
      </c>
      <c r="AI28" t="inlineStr">
        <is>
          <t>Mark T.</t>
        </is>
      </c>
      <c r="AK28" t="inlineStr">
        <is>
          <t>Complete</t>
        </is>
      </c>
      <c r="AL28" t="n">
        <v>8</v>
      </c>
      <c r="AM28" t="inlineStr">
        <is>
          <t>Eoin P.</t>
        </is>
      </c>
      <c r="AO28" t="inlineStr">
        <is>
          <t>Complete</t>
        </is>
      </c>
      <c r="AP28" t="n">
        <v>8</v>
      </c>
      <c r="AQ28" t="inlineStr">
        <is>
          <t>Dave L.</t>
        </is>
      </c>
      <c r="AS28" t="inlineStr">
        <is>
          <t>Complete</t>
        </is>
      </c>
      <c r="AT28" t="n">
        <v>8</v>
      </c>
      <c r="AU28" t="inlineStr">
        <is>
          <t>Shane C.</t>
        </is>
      </c>
      <c r="AW28" t="inlineStr">
        <is>
          <t>Complete</t>
        </is>
      </c>
      <c r="AX28" t="n">
        <v>2</v>
      </c>
      <c r="AY28" t="inlineStr">
        <is>
          <t>Alan F.</t>
        </is>
      </c>
      <c r="BA28" t="inlineStr">
        <is>
          <t>Complete</t>
        </is>
      </c>
      <c r="BB28" t="n">
        <v>3</v>
      </c>
      <c r="BC28" t="inlineStr">
        <is>
          <t>Paul G.</t>
        </is>
      </c>
      <c r="BE28" t="inlineStr">
        <is>
          <t>Complete</t>
        </is>
      </c>
      <c r="BF28" t="n">
        <v>5</v>
      </c>
      <c r="BG28" t="inlineStr">
        <is>
          <t>Frank D.</t>
        </is>
      </c>
      <c r="BI28" t="inlineStr">
        <is>
          <t>Complete</t>
        </is>
      </c>
      <c r="BJ28" t="n">
        <v>5</v>
      </c>
      <c r="BK28" t="inlineStr">
        <is>
          <t>Frank D.</t>
        </is>
      </c>
    </row>
    <row r="29">
      <c r="A29" t="inlineStr">
        <is>
          <t>J-1024</t>
        </is>
      </c>
      <c r="B29" t="inlineStr">
        <is>
          <t>Dooley Farm Supplies</t>
        </is>
      </c>
      <c r="C29" t="inlineStr">
        <is>
          <t>Trailer 8T Silage</t>
        </is>
      </c>
      <c r="D29" t="n">
        <v>3</v>
      </c>
      <c r="E29" t="inlineStr">
        <is>
          <t>TS-0800</t>
        </is>
      </c>
      <c r="F29" t="inlineStr">
        <is>
          <t>Low</t>
        </is>
      </c>
      <c r="G29" t="inlineStr">
        <is>
          <t>Not Started</t>
        </is>
      </c>
      <c r="H29" s="21" t="n">
        <v>46109</v>
      </c>
      <c r="I29" s="21" t="n">
        <v>46070</v>
      </c>
      <c r="J29">
        <f>IFERROR(H29-TODAY(),"")</f>
        <v/>
      </c>
      <c r="K29">
        <f>IFERROR(MATCH(F29,Priorities,0),99)</f>
        <v/>
      </c>
      <c r="M29" t="inlineStr">
        <is>
          <t>Not Started</t>
        </is>
      </c>
      <c r="N29" t="n">
        <v>2</v>
      </c>
      <c r="Q29" t="inlineStr">
        <is>
          <t>Not Started</t>
        </is>
      </c>
      <c r="R29" t="n">
        <v>1.5</v>
      </c>
      <c r="U29" t="inlineStr">
        <is>
          <t>Not Started</t>
        </is>
      </c>
      <c r="V29" t="n">
        <v>4</v>
      </c>
      <c r="Y29" t="inlineStr">
        <is>
          <t>Not Started</t>
        </is>
      </c>
      <c r="Z29" t="n">
        <v>4</v>
      </c>
      <c r="AC29" t="inlineStr">
        <is>
          <t>Not Started</t>
        </is>
      </c>
      <c r="AD29" t="n">
        <v>6</v>
      </c>
      <c r="AG29" t="inlineStr">
        <is>
          <t>Not Started</t>
        </is>
      </c>
      <c r="AH29" t="n">
        <v>6</v>
      </c>
      <c r="AK29" t="inlineStr">
        <is>
          <t>Not Started</t>
        </is>
      </c>
      <c r="AL29" t="n">
        <v>8</v>
      </c>
      <c r="AO29" t="inlineStr">
        <is>
          <t>Not Started</t>
        </is>
      </c>
      <c r="AP29" t="n">
        <v>8</v>
      </c>
      <c r="AS29" t="inlineStr">
        <is>
          <t>Not Started</t>
        </is>
      </c>
      <c r="AT29" t="n">
        <v>8</v>
      </c>
      <c r="AW29" t="inlineStr">
        <is>
          <t>Not Started</t>
        </is>
      </c>
      <c r="AX29" t="n">
        <v>2</v>
      </c>
      <c r="BA29" t="inlineStr">
        <is>
          <t>Not Started</t>
        </is>
      </c>
      <c r="BB29" t="n">
        <v>3</v>
      </c>
      <c r="BE29" t="inlineStr">
        <is>
          <t>Not Started</t>
        </is>
      </c>
      <c r="BF29" t="n">
        <v>5</v>
      </c>
      <c r="BI29" t="inlineStr">
        <is>
          <t>Not Started</t>
        </is>
      </c>
      <c r="BJ29" t="n">
        <v>5</v>
      </c>
    </row>
    <row r="30">
      <c r="A30" t="inlineStr">
        <is>
          <t>J-1025</t>
        </is>
      </c>
      <c r="B30" t="inlineStr">
        <is>
          <t>Kavanagh Agri Ltd</t>
        </is>
      </c>
      <c r="C30" t="inlineStr">
        <is>
          <t>Disc Harrow 2.5m Folding</t>
        </is>
      </c>
      <c r="D30" t="n">
        <v>4</v>
      </c>
      <c r="E30" t="inlineStr">
        <is>
          <t>DH-2500</t>
        </is>
      </c>
      <c r="F30" t="inlineStr">
        <is>
          <t>High</t>
        </is>
      </c>
      <c r="G30" t="inlineStr">
        <is>
          <t>Waiting Materials</t>
        </is>
      </c>
      <c r="H30" s="21" t="n">
        <v>46076</v>
      </c>
      <c r="I30" s="21" t="n">
        <v>46057</v>
      </c>
      <c r="J30">
        <f>IFERROR(H30-TODAY(),"")</f>
        <v/>
      </c>
      <c r="K30">
        <f>IFERROR(MATCH(F30,Priorities,0),99)</f>
        <v/>
      </c>
      <c r="M30" t="inlineStr">
        <is>
          <t>Complete</t>
        </is>
      </c>
      <c r="N30" t="n">
        <v>2</v>
      </c>
      <c r="O30" t="inlineStr">
        <is>
          <t>Sean R.</t>
        </is>
      </c>
      <c r="Q30" t="inlineStr">
        <is>
          <t>Complete</t>
        </is>
      </c>
      <c r="R30" t="n">
        <v>1.5</v>
      </c>
      <c r="S30" t="inlineStr">
        <is>
          <t>Liam F.</t>
        </is>
      </c>
      <c r="U30" t="inlineStr">
        <is>
          <t>Waiting Materials</t>
        </is>
      </c>
      <c r="V30" t="n">
        <v>4</v>
      </c>
      <c r="W30" t="inlineStr">
        <is>
          <t>Kevin D.</t>
        </is>
      </c>
      <c r="Y30" t="inlineStr">
        <is>
          <t>Not Started</t>
        </is>
      </c>
      <c r="Z30" t="n">
        <v>4</v>
      </c>
      <c r="AC30" t="inlineStr">
        <is>
          <t>Not Started</t>
        </is>
      </c>
      <c r="AD30" t="n">
        <v>6</v>
      </c>
      <c r="AG30" t="inlineStr">
        <is>
          <t>Not Started</t>
        </is>
      </c>
      <c r="AH30" t="n">
        <v>6</v>
      </c>
      <c r="AK30" t="inlineStr">
        <is>
          <t>Not Started</t>
        </is>
      </c>
      <c r="AL30" t="n">
        <v>8</v>
      </c>
      <c r="AO30" t="inlineStr">
        <is>
          <t>Not Started</t>
        </is>
      </c>
      <c r="AP30" t="n">
        <v>8</v>
      </c>
      <c r="AS30" t="inlineStr">
        <is>
          <t>Not Started</t>
        </is>
      </c>
      <c r="AT30" t="n">
        <v>8</v>
      </c>
      <c r="AW30" t="inlineStr">
        <is>
          <t>Not Started</t>
        </is>
      </c>
      <c r="AX30" t="n">
        <v>2</v>
      </c>
      <c r="BA30" t="inlineStr">
        <is>
          <t>Not Started</t>
        </is>
      </c>
      <c r="BB30" t="n">
        <v>3</v>
      </c>
      <c r="BE30" t="inlineStr">
        <is>
          <t>Not Started</t>
        </is>
      </c>
      <c r="BF30" t="n">
        <v>5</v>
      </c>
      <c r="BI30" t="inlineStr">
        <is>
          <t>Not Started</t>
        </is>
      </c>
      <c r="BJ30" t="n">
        <v>5</v>
      </c>
    </row>
  </sheetData>
  <mergeCells count="16">
    <mergeCell ref="M4:P4"/>
    <mergeCell ref="AS4:AV4"/>
    <mergeCell ref="Q4:T4"/>
    <mergeCell ref="U4:X4"/>
    <mergeCell ref="AK4:AN4"/>
    <mergeCell ref="AG4:AJ4"/>
    <mergeCell ref="AO4:AR4"/>
    <mergeCell ref="A1:BL1"/>
    <mergeCell ref="Y4:AB4"/>
    <mergeCell ref="AW4:AZ4"/>
    <mergeCell ref="AC4:AF4"/>
    <mergeCell ref="BA4:BD4"/>
    <mergeCell ref="BE4:BH4"/>
    <mergeCell ref="BI4:BL4"/>
    <mergeCell ref="A2:BL2"/>
    <mergeCell ref="A4:L4"/>
  </mergeCells>
  <conditionalFormatting sqref="A6:BL500">
    <cfRule type="expression" priority="1" dxfId="0" stopIfTrue="1">
      <formula>$G6="Complete"</formula>
    </cfRule>
    <cfRule type="expression" priority="2" dxfId="1">
      <formula>AND($J6&lt;0,$G6&lt;&gt;"Complete")</formula>
    </cfRule>
    <cfRule type="expression" priority="3" dxfId="2">
      <formula>AND($J6&gt;=0,$J6&lt;=3,$G6&lt;&gt;"Complete")</formula>
    </cfRule>
  </conditionalFormatting>
  <conditionalFormatting sqref="F6:F500">
    <cfRule type="expression" priority="4" dxfId="3">
      <formula>$F6="Urgent"</formula>
    </cfRule>
    <cfRule type="expression" priority="5" dxfId="4">
      <formula>$F6="High"</formula>
    </cfRule>
    <cfRule type="expression" priority="6" dxfId="5">
      <formula>$F6="Normal"</formula>
    </cfRule>
    <cfRule type="expression" priority="7" dxfId="6">
      <formula>$F6="Low"</formula>
    </cfRule>
  </conditionalFormatting>
  <conditionalFormatting sqref="M6:M500">
    <cfRule type="expression" priority="8" dxfId="7">
      <formula>$M6="Waiting Materials"</formula>
    </cfRule>
    <cfRule type="expression" priority="9" dxfId="8">
      <formula>$M6="Complete"</formula>
    </cfRule>
    <cfRule type="expression" priority="10" dxfId="9">
      <formula>$M6="In Progress"</formula>
    </cfRule>
    <cfRule type="expression" priority="11" dxfId="10">
      <formula>$M6="On Hold"</formula>
    </cfRule>
  </conditionalFormatting>
  <conditionalFormatting sqref="Q6:Q500">
    <cfRule type="expression" priority="12" dxfId="7">
      <formula>$Q6="Waiting Materials"</formula>
    </cfRule>
    <cfRule type="expression" priority="13" dxfId="8">
      <formula>$Q6="Complete"</formula>
    </cfRule>
    <cfRule type="expression" priority="14" dxfId="9">
      <formula>$Q6="In Progress"</formula>
    </cfRule>
    <cfRule type="expression" priority="15" dxfId="10">
      <formula>$Q6="On Hold"</formula>
    </cfRule>
  </conditionalFormatting>
  <conditionalFormatting sqref="U6:U500">
    <cfRule type="expression" priority="16" dxfId="7">
      <formula>$U6="Waiting Materials"</formula>
    </cfRule>
    <cfRule type="expression" priority="17" dxfId="8">
      <formula>$U6="Complete"</formula>
    </cfRule>
    <cfRule type="expression" priority="18" dxfId="9">
      <formula>$U6="In Progress"</formula>
    </cfRule>
    <cfRule type="expression" priority="19" dxfId="10">
      <formula>$U6="On Hold"</formula>
    </cfRule>
  </conditionalFormatting>
  <conditionalFormatting sqref="Y6:Y500">
    <cfRule type="expression" priority="20" dxfId="7">
      <formula>$Y6="Waiting Materials"</formula>
    </cfRule>
    <cfRule type="expression" priority="21" dxfId="8">
      <formula>$Y6="Complete"</formula>
    </cfRule>
    <cfRule type="expression" priority="22" dxfId="9">
      <formula>$Y6="In Progress"</formula>
    </cfRule>
    <cfRule type="expression" priority="23" dxfId="10">
      <formula>$Y6="On Hold"</formula>
    </cfRule>
  </conditionalFormatting>
  <conditionalFormatting sqref="AC6:AC500">
    <cfRule type="expression" priority="24" dxfId="7">
      <formula>$AC6="Waiting Materials"</formula>
    </cfRule>
    <cfRule type="expression" priority="25" dxfId="8">
      <formula>$AC6="Complete"</formula>
    </cfRule>
    <cfRule type="expression" priority="26" dxfId="9">
      <formula>$AC6="In Progress"</formula>
    </cfRule>
    <cfRule type="expression" priority="27" dxfId="10">
      <formula>$AC6="On Hold"</formula>
    </cfRule>
  </conditionalFormatting>
  <conditionalFormatting sqref="AG6:AG500">
    <cfRule type="expression" priority="28" dxfId="7">
      <formula>$AG6="Waiting Materials"</formula>
    </cfRule>
    <cfRule type="expression" priority="29" dxfId="8">
      <formula>$AG6="Complete"</formula>
    </cfRule>
    <cfRule type="expression" priority="30" dxfId="9">
      <formula>$AG6="In Progress"</formula>
    </cfRule>
    <cfRule type="expression" priority="31" dxfId="10">
      <formula>$AG6="On Hold"</formula>
    </cfRule>
  </conditionalFormatting>
  <conditionalFormatting sqref="AK6:AK500">
    <cfRule type="expression" priority="32" dxfId="7">
      <formula>$AK6="Waiting Materials"</formula>
    </cfRule>
    <cfRule type="expression" priority="33" dxfId="8">
      <formula>$AK6="Complete"</formula>
    </cfRule>
    <cfRule type="expression" priority="34" dxfId="9">
      <formula>$AK6="In Progress"</formula>
    </cfRule>
    <cfRule type="expression" priority="35" dxfId="10">
      <formula>$AK6="On Hold"</formula>
    </cfRule>
  </conditionalFormatting>
  <conditionalFormatting sqref="AO6:AO500">
    <cfRule type="expression" priority="36" dxfId="7">
      <formula>$AO6="Waiting Materials"</formula>
    </cfRule>
    <cfRule type="expression" priority="37" dxfId="8">
      <formula>$AO6="Complete"</formula>
    </cfRule>
    <cfRule type="expression" priority="38" dxfId="9">
      <formula>$AO6="In Progress"</formula>
    </cfRule>
    <cfRule type="expression" priority="39" dxfId="10">
      <formula>$AO6="On Hold"</formula>
    </cfRule>
  </conditionalFormatting>
  <conditionalFormatting sqref="AS6:AS500">
    <cfRule type="expression" priority="40" dxfId="7">
      <formula>$AS6="Waiting Materials"</formula>
    </cfRule>
    <cfRule type="expression" priority="41" dxfId="8">
      <formula>$AS6="Complete"</formula>
    </cfRule>
    <cfRule type="expression" priority="42" dxfId="9">
      <formula>$AS6="In Progress"</formula>
    </cfRule>
    <cfRule type="expression" priority="43" dxfId="10">
      <formula>$AS6="On Hold"</formula>
    </cfRule>
  </conditionalFormatting>
  <conditionalFormatting sqref="AW6:AW500">
    <cfRule type="expression" priority="44" dxfId="7">
      <formula>$AW6="Waiting Materials"</formula>
    </cfRule>
    <cfRule type="expression" priority="45" dxfId="8">
      <formula>$AW6="Complete"</formula>
    </cfRule>
    <cfRule type="expression" priority="46" dxfId="9">
      <formula>$AW6="In Progress"</formula>
    </cfRule>
    <cfRule type="expression" priority="47" dxfId="10">
      <formula>$AW6="On Hold"</formula>
    </cfRule>
  </conditionalFormatting>
  <conditionalFormatting sqref="BA6:BA500">
    <cfRule type="expression" priority="48" dxfId="7">
      <formula>$BA6="Waiting Materials"</formula>
    </cfRule>
    <cfRule type="expression" priority="49" dxfId="8">
      <formula>$BA6="Complete"</formula>
    </cfRule>
    <cfRule type="expression" priority="50" dxfId="9">
      <formula>$BA6="In Progress"</formula>
    </cfRule>
    <cfRule type="expression" priority="51" dxfId="10">
      <formula>$BA6="On Hold"</formula>
    </cfRule>
  </conditionalFormatting>
  <conditionalFormatting sqref="BE6:BE500">
    <cfRule type="expression" priority="52" dxfId="7">
      <formula>$BE6="Waiting Materials"</formula>
    </cfRule>
    <cfRule type="expression" priority="53" dxfId="8">
      <formula>$BE6="Complete"</formula>
    </cfRule>
    <cfRule type="expression" priority="54" dxfId="9">
      <formula>$BE6="In Progress"</formula>
    </cfRule>
    <cfRule type="expression" priority="55" dxfId="10">
      <formula>$BE6="On Hold"</formula>
    </cfRule>
  </conditionalFormatting>
  <conditionalFormatting sqref="BI6:BI500">
    <cfRule type="expression" priority="56" dxfId="7">
      <formula>$BI6="Waiting Materials"</formula>
    </cfRule>
    <cfRule type="expression" priority="57" dxfId="8">
      <formula>$BI6="Complete"</formula>
    </cfRule>
    <cfRule type="expression" priority="58" dxfId="9">
      <formula>$BI6="In Progress"</formula>
    </cfRule>
    <cfRule type="expression" priority="59" dxfId="10">
      <formula>$BI6="On Hold"</formula>
    </cfRule>
  </conditionalFormatting>
  <dataValidations count="14">
    <dataValidation sqref="F6:F500" showDropDown="0" showInputMessage="0" showErrorMessage="0" allowBlank="1" type="list">
      <formula1>"Urgent,High,Normal,Low"</formula1>
    </dataValidation>
    <dataValidation sqref="M6:M500" showDropDown="0" showInputMessage="0" showErrorMessage="0" allowBlank="1" type="list">
      <formula1>"Not Started,In Progress,On Hold,Complete,Waiting Materials"</formula1>
    </dataValidation>
    <dataValidation sqref="Q6:Q500" showDropDown="0" showInputMessage="0" showErrorMessage="0" allowBlank="1" type="list">
      <formula1>"Not Started,In Progress,On Hold,Complete,Waiting Materials"</formula1>
    </dataValidation>
    <dataValidation sqref="U6:U500" showDropDown="0" showInputMessage="0" showErrorMessage="0" allowBlank="1" type="list">
      <formula1>"Not Started,In Progress,On Hold,Complete,Waiting Materials"</formula1>
    </dataValidation>
    <dataValidation sqref="Y6:Y500" showDropDown="0" showInputMessage="0" showErrorMessage="0" allowBlank="1" type="list">
      <formula1>"Not Started,In Progress,On Hold,Complete,Waiting Materials"</formula1>
    </dataValidation>
    <dataValidation sqref="AC6:AC500" showDropDown="0" showInputMessage="0" showErrorMessage="0" allowBlank="1" type="list">
      <formula1>"Not Started,In Progress,On Hold,Complete,Waiting Materials"</formula1>
    </dataValidation>
    <dataValidation sqref="AG6:AG500" showDropDown="0" showInputMessage="0" showErrorMessage="0" allowBlank="1" type="list">
      <formula1>"Not Started,In Progress,On Hold,Complete,Waiting Materials"</formula1>
    </dataValidation>
    <dataValidation sqref="AK6:AK500" showDropDown="0" showInputMessage="0" showErrorMessage="0" allowBlank="1" type="list">
      <formula1>"Not Started,In Progress,On Hold,Complete,Waiting Materials"</formula1>
    </dataValidation>
    <dataValidation sqref="AO6:AO500" showDropDown="0" showInputMessage="0" showErrorMessage="0" allowBlank="1" type="list">
      <formula1>"Not Started,In Progress,On Hold,Complete,Waiting Materials"</formula1>
    </dataValidation>
    <dataValidation sqref="AS6:AS500" showDropDown="0" showInputMessage="0" showErrorMessage="0" allowBlank="1" type="list">
      <formula1>"Not Started,In Progress,On Hold,Complete,Waiting Materials"</formula1>
    </dataValidation>
    <dataValidation sqref="AW6:AW500" showDropDown="0" showInputMessage="0" showErrorMessage="0" allowBlank="1" type="list">
      <formula1>"Not Started,In Progress,On Hold,Complete,Waiting Materials"</formula1>
    </dataValidation>
    <dataValidation sqref="BA6:BA500" showDropDown="0" showInputMessage="0" showErrorMessage="0" allowBlank="1" type="list">
      <formula1>"Not Started,In Progress,On Hold,Complete,Waiting Materials"</formula1>
    </dataValidation>
    <dataValidation sqref="BE6:BE500" showDropDown="0" showInputMessage="0" showErrorMessage="0" allowBlank="1" type="list">
      <formula1>"Not Started,In Progress,On Hold,Complete,Waiting Materials"</formula1>
    </dataValidation>
    <dataValidation sqref="BI6:BI500" showDropDown="0" showInputMessage="0" showErrorMessage="0" allowBlank="1" type="list">
      <formula1>"Not Started,In Progress,On Hold,Complete,Waiting Materials"</formula1>
    </dataValidation>
  </dataValidation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5E9E"/>
    <outlinePr summaryBelow="1" summaryRight="1"/>
    <pageSetUpPr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22" t="inlineStr">
        <is>
          <t>PRODUCTION DASHBOARD</t>
        </is>
      </c>
    </row>
    <row r="2" ht="18" customHeight="1">
      <c r="A2" s="23" t="inlineStr">
        <is>
          <t>Manager Overview — Live KPIs</t>
        </is>
      </c>
    </row>
    <row r="4" ht="20" customHeight="1">
      <c r="A4" s="24" t="inlineStr">
        <is>
          <t>Total Active Jobs</t>
        </is>
      </c>
      <c r="D4" s="25" t="inlineStr">
        <is>
          <t>Overdue Jobs</t>
        </is>
      </c>
      <c r="G4" s="17" t="inlineStr">
        <is>
          <t>Due This Week</t>
        </is>
      </c>
      <c r="J4" s="13" t="inlineStr">
        <is>
          <t>Total Remaining Est Hrs</t>
        </is>
      </c>
    </row>
    <row r="5" ht="40" customHeight="1">
      <c r="A5" s="26">
        <f>COUNTIF('Master Schedule'!$G$6:$G$500,"&lt;&gt;Complete")</f>
        <v/>
      </c>
      <c r="D5" s="27">
        <f>SUMPRODUCT(('Master Schedule'!$J$6:$J$500&lt;0)*('Master Schedule'!$G$6:$G$500&lt;&gt;"Complete")*('Master Schedule'!$A$6:$A$500&lt;&gt;""))</f>
        <v/>
      </c>
      <c r="G5" s="28">
        <f>SUMPRODUCT(('Master Schedule'!$J$6:$J$500&gt;=0)*('Master Schedule'!$J$6:$J$500&lt;=7)*('Master Schedule'!$G$6:$G$500&lt;&gt;"Complete")*('Master Schedule'!$A$6:$A$500&lt;&gt;""))</f>
        <v/>
      </c>
      <c r="J5" s="29">
        <f>SUMPRODUCT(('Master Schedule'!$G$6:$G$500&lt;&gt;"Complete")*('Master Schedule'!$A$6:$A$500&lt;&gt;"")*(('Master Schedule'!$N$6:$N$500)+('Master Schedule'!$R$6:$R$500)+('Master Schedule'!$V$6:$V$500)+('Master Schedule'!$Z$6:$Z$500)+('Master Schedule'!$AD$6:$AD$500)+('Master Schedule'!$AH$6:$AH$500)+('Master Schedule'!$AL$6:$AL$500)+('Master Schedule'!$AP$6:$AP$500)+('Master Schedule'!$AT$6:$AT$500)+('Master Schedule'!$AX$6:$AX$500)+('Master Schedule'!$BB$6:$BB$500)+('Master Schedule'!$BF$6:$BF$500)+('Master Schedule'!$BJ$6:$BJ$500)))</f>
        <v/>
      </c>
    </row>
    <row r="6" ht="8" customHeight="1">
      <c r="A6" s="30" t="inlineStr"/>
      <c r="D6" s="31" t="inlineStr"/>
      <c r="G6" s="32" t="inlineStr"/>
      <c r="J6" s="33" t="inlineStr"/>
    </row>
    <row r="7" ht="12" customHeight="1"/>
    <row r="8" ht="20" customHeight="1">
      <c r="A8" s="13" t="inlineStr">
        <is>
          <t>Station</t>
        </is>
      </c>
      <c r="B8" s="13" t="inlineStr">
        <is>
          <t>Jobs Queued</t>
        </is>
      </c>
      <c r="C8" s="13" t="inlineStr">
        <is>
          <t>Remaining Hrs</t>
        </is>
      </c>
      <c r="D8" s="13" t="inlineStr">
        <is>
          <t>Urgent</t>
        </is>
      </c>
      <c r="E8" s="13" t="inlineStr">
        <is>
          <t>High</t>
        </is>
      </c>
      <c r="F8" s="13" t="inlineStr">
        <is>
          <t>Normal</t>
        </is>
      </c>
      <c r="G8" s="13" t="inlineStr">
        <is>
          <t>Low</t>
        </is>
      </c>
      <c r="H8" s="13" t="inlineStr">
        <is>
          <t>Overdue</t>
        </is>
      </c>
      <c r="I8" s="13" t="inlineStr">
        <is>
          <t>Due This Week</t>
        </is>
      </c>
      <c r="J8" s="13" t="inlineStr">
        <is>
          <t>% Complete</t>
        </is>
      </c>
    </row>
    <row r="9">
      <c r="A9" t="inlineStr">
        <is>
          <t>Profiling</t>
        </is>
      </c>
      <c r="B9">
        <f>SUMPRODUCT(('Master Schedule'!$M$6:$M$500&lt;&gt;"Complete")*('Master Schedule'!$M$6:$M$500&lt;&gt;"Not Started")*('Master Schedule'!$A$6:$A$500&lt;&gt;""))</f>
        <v/>
      </c>
      <c r="C9">
        <f>SUMPRODUCT(('Master Schedule'!$M$6:$M$500&lt;&gt;"Complete")*('Master Schedule'!$A$6:$A$500&lt;&gt;"")*'Master Schedule'!$N$6:$N$500)</f>
        <v/>
      </c>
      <c r="D9">
        <f>SUMPRODUCT(('Master Schedule'!$M$6:$M$500&lt;&gt;"Complete")*('Master Schedule'!$M$6:$M$500&lt;&gt;"Not Started")*('Master Schedule'!$F$6:$F$500="Urgent")*('Master Schedule'!$A$6:$A$500&lt;&gt;""))</f>
        <v/>
      </c>
      <c r="E9">
        <f>SUMPRODUCT(('Master Schedule'!$M$6:$M$500&lt;&gt;"Complete")*('Master Schedule'!$M$6:$M$500&lt;&gt;"Not Started")*('Master Schedule'!$F$6:$F$500="High")*('Master Schedule'!$A$6:$A$500&lt;&gt;""))</f>
        <v/>
      </c>
      <c r="F9">
        <f>SUMPRODUCT(('Master Schedule'!$M$6:$M$500&lt;&gt;"Complete")*('Master Schedule'!$M$6:$M$500&lt;&gt;"Not Started")*('Master Schedule'!$F$6:$F$500="Normal")*('Master Schedule'!$A$6:$A$500&lt;&gt;""))</f>
        <v/>
      </c>
      <c r="G9">
        <f>SUMPRODUCT(('Master Schedule'!$M$6:$M$500&lt;&gt;"Complete")*('Master Schedule'!$M$6:$M$500&lt;&gt;"Not Started")*('Master Schedule'!$F$6:$F$500="Low")*('Master Schedule'!$A$6:$A$500&lt;&gt;""))</f>
        <v/>
      </c>
      <c r="H9">
        <f>SUMPRODUCT(('Master Schedule'!$M$6:$M$500&lt;&gt;"Complete")*('Master Schedule'!$M$6:$M$500&lt;&gt;"Not Started")*('Master Schedule'!$J$6:$J$500&lt;0)*('Master Schedule'!$A$6:$A$500&lt;&gt;""))</f>
        <v/>
      </c>
      <c r="I9">
        <f>SUMPRODUCT(('Master Schedule'!$M$6:$M$500&lt;&gt;"Complete")*('Master Schedule'!$M$6:$M$500&lt;&gt;"Not Started")*('Master Schedule'!$J$6:$J$500&gt;=0)*('Master Schedule'!$J$6:$J$500&lt;=7)*('Master Schedule'!$A$6:$A$500&lt;&gt;""))</f>
        <v/>
      </c>
      <c r="J9" s="34">
        <f>IFERROR(SUMPRODUCT(('Master Schedule'!$M$6:$M$500="Complete")*('Master Schedule'!$A$6:$A$500&lt;&gt;""))/SUMPRODUCT(('Master Schedule'!$A$6:$A$500&lt;&gt;"")*1),0)</f>
        <v/>
      </c>
    </row>
    <row r="10">
      <c r="A10" s="35" t="inlineStr">
        <is>
          <t>Saw</t>
        </is>
      </c>
      <c r="B10" s="35">
        <f>SUMPRODUCT(('Master Schedule'!$Q$6:$Q$500&lt;&gt;"Complete")*('Master Schedule'!$Q$6:$Q$500&lt;&gt;"Not Started")*('Master Schedule'!$A$6:$A$500&lt;&gt;""))</f>
        <v/>
      </c>
      <c r="C10" s="35">
        <f>SUMPRODUCT(('Master Schedule'!$Q$6:$Q$500&lt;&gt;"Complete")*('Master Schedule'!$A$6:$A$500&lt;&gt;"")*'Master Schedule'!$R$6:$R$500)</f>
        <v/>
      </c>
      <c r="D10" s="35">
        <f>SUMPRODUCT(('Master Schedule'!$Q$6:$Q$500&lt;&gt;"Complete")*('Master Schedule'!$Q$6:$Q$500&lt;&gt;"Not Started")*('Master Schedule'!$F$6:$F$500="Urgent")*('Master Schedule'!$A$6:$A$500&lt;&gt;""))</f>
        <v/>
      </c>
      <c r="E10" s="35">
        <f>SUMPRODUCT(('Master Schedule'!$Q$6:$Q$500&lt;&gt;"Complete")*('Master Schedule'!$Q$6:$Q$500&lt;&gt;"Not Started")*('Master Schedule'!$F$6:$F$500="High")*('Master Schedule'!$A$6:$A$500&lt;&gt;""))</f>
        <v/>
      </c>
      <c r="F10" s="35">
        <f>SUMPRODUCT(('Master Schedule'!$Q$6:$Q$500&lt;&gt;"Complete")*('Master Schedule'!$Q$6:$Q$500&lt;&gt;"Not Started")*('Master Schedule'!$F$6:$F$500="Normal")*('Master Schedule'!$A$6:$A$500&lt;&gt;""))</f>
        <v/>
      </c>
      <c r="G10" s="35">
        <f>SUMPRODUCT(('Master Schedule'!$Q$6:$Q$500&lt;&gt;"Complete")*('Master Schedule'!$Q$6:$Q$500&lt;&gt;"Not Started")*('Master Schedule'!$F$6:$F$500="Low")*('Master Schedule'!$A$6:$A$500&lt;&gt;""))</f>
        <v/>
      </c>
      <c r="H10" s="35">
        <f>SUMPRODUCT(('Master Schedule'!$Q$6:$Q$500&lt;&gt;"Complete")*('Master Schedule'!$Q$6:$Q$500&lt;&gt;"Not Started")*('Master Schedule'!$J$6:$J$500&lt;0)*('Master Schedule'!$A$6:$A$500&lt;&gt;""))</f>
        <v/>
      </c>
      <c r="I10" s="35">
        <f>SUMPRODUCT(('Master Schedule'!$Q$6:$Q$500&lt;&gt;"Complete")*('Master Schedule'!$Q$6:$Q$500&lt;&gt;"Not Started")*('Master Schedule'!$J$6:$J$500&gt;=0)*('Master Schedule'!$J$6:$J$500&lt;=7)*('Master Schedule'!$A$6:$A$500&lt;&gt;""))</f>
        <v/>
      </c>
      <c r="J10" s="36">
        <f>IFERROR(SUMPRODUCT(('Master Schedule'!$Q$6:$Q$500="Complete")*('Master Schedule'!$A$6:$A$500&lt;&gt;""))/SUMPRODUCT(('Master Schedule'!$A$6:$A$500&lt;&gt;"")*1),0)</f>
        <v/>
      </c>
    </row>
    <row r="11">
      <c r="A11" t="inlineStr">
        <is>
          <t>Machining 1</t>
        </is>
      </c>
      <c r="B11">
        <f>SUMPRODUCT(('Master Schedule'!$U$6:$U$500&lt;&gt;"Complete")*('Master Schedule'!$U$6:$U$500&lt;&gt;"Not Started")*('Master Schedule'!$A$6:$A$500&lt;&gt;""))</f>
        <v/>
      </c>
      <c r="C11">
        <f>SUMPRODUCT(('Master Schedule'!$U$6:$U$500&lt;&gt;"Complete")*('Master Schedule'!$A$6:$A$500&lt;&gt;"")*'Master Schedule'!$V$6:$V$500)</f>
        <v/>
      </c>
      <c r="D11">
        <f>SUMPRODUCT(('Master Schedule'!$U$6:$U$500&lt;&gt;"Complete")*('Master Schedule'!$U$6:$U$500&lt;&gt;"Not Started")*('Master Schedule'!$F$6:$F$500="Urgent")*('Master Schedule'!$A$6:$A$500&lt;&gt;""))</f>
        <v/>
      </c>
      <c r="E11">
        <f>SUMPRODUCT(('Master Schedule'!$U$6:$U$500&lt;&gt;"Complete")*('Master Schedule'!$U$6:$U$500&lt;&gt;"Not Started")*('Master Schedule'!$F$6:$F$500="High")*('Master Schedule'!$A$6:$A$500&lt;&gt;""))</f>
        <v/>
      </c>
      <c r="F11">
        <f>SUMPRODUCT(('Master Schedule'!$U$6:$U$500&lt;&gt;"Complete")*('Master Schedule'!$U$6:$U$500&lt;&gt;"Not Started")*('Master Schedule'!$F$6:$F$500="Normal")*('Master Schedule'!$A$6:$A$500&lt;&gt;""))</f>
        <v/>
      </c>
      <c r="G11">
        <f>SUMPRODUCT(('Master Schedule'!$U$6:$U$500&lt;&gt;"Complete")*('Master Schedule'!$U$6:$U$500&lt;&gt;"Not Started")*('Master Schedule'!$F$6:$F$500="Low")*('Master Schedule'!$A$6:$A$500&lt;&gt;""))</f>
        <v/>
      </c>
      <c r="H11">
        <f>SUMPRODUCT(('Master Schedule'!$U$6:$U$500&lt;&gt;"Complete")*('Master Schedule'!$U$6:$U$500&lt;&gt;"Not Started")*('Master Schedule'!$J$6:$J$500&lt;0)*('Master Schedule'!$A$6:$A$500&lt;&gt;""))</f>
        <v/>
      </c>
      <c r="I11">
        <f>SUMPRODUCT(('Master Schedule'!$U$6:$U$500&lt;&gt;"Complete")*('Master Schedule'!$U$6:$U$500&lt;&gt;"Not Started")*('Master Schedule'!$J$6:$J$500&gt;=0)*('Master Schedule'!$J$6:$J$500&lt;=7)*('Master Schedule'!$A$6:$A$500&lt;&gt;""))</f>
        <v/>
      </c>
      <c r="J11" s="34">
        <f>IFERROR(SUMPRODUCT(('Master Schedule'!$U$6:$U$500="Complete")*('Master Schedule'!$A$6:$A$500&lt;&gt;""))/SUMPRODUCT(('Master Schedule'!$A$6:$A$500&lt;&gt;"")*1),0)</f>
        <v/>
      </c>
    </row>
    <row r="12">
      <c r="A12" s="35" t="inlineStr">
        <is>
          <t>Machining 2</t>
        </is>
      </c>
      <c r="B12" s="35">
        <f>SUMPRODUCT(('Master Schedule'!$Y$6:$Y$500&lt;&gt;"Complete")*('Master Schedule'!$Y$6:$Y$500&lt;&gt;"Not Started")*('Master Schedule'!$A$6:$A$500&lt;&gt;""))</f>
        <v/>
      </c>
      <c r="C12" s="35">
        <f>SUMPRODUCT(('Master Schedule'!$Y$6:$Y$500&lt;&gt;"Complete")*('Master Schedule'!$A$6:$A$500&lt;&gt;"")*'Master Schedule'!$Z$6:$Z$500)</f>
        <v/>
      </c>
      <c r="D12" s="35">
        <f>SUMPRODUCT(('Master Schedule'!$Y$6:$Y$500&lt;&gt;"Complete")*('Master Schedule'!$Y$6:$Y$500&lt;&gt;"Not Started")*('Master Schedule'!$F$6:$F$500="Urgent")*('Master Schedule'!$A$6:$A$500&lt;&gt;""))</f>
        <v/>
      </c>
      <c r="E12" s="35">
        <f>SUMPRODUCT(('Master Schedule'!$Y$6:$Y$500&lt;&gt;"Complete")*('Master Schedule'!$Y$6:$Y$500&lt;&gt;"Not Started")*('Master Schedule'!$F$6:$F$500="High")*('Master Schedule'!$A$6:$A$500&lt;&gt;""))</f>
        <v/>
      </c>
      <c r="F12" s="35">
        <f>SUMPRODUCT(('Master Schedule'!$Y$6:$Y$500&lt;&gt;"Complete")*('Master Schedule'!$Y$6:$Y$500&lt;&gt;"Not Started")*('Master Schedule'!$F$6:$F$500="Normal")*('Master Schedule'!$A$6:$A$500&lt;&gt;""))</f>
        <v/>
      </c>
      <c r="G12" s="35">
        <f>SUMPRODUCT(('Master Schedule'!$Y$6:$Y$500&lt;&gt;"Complete")*('Master Schedule'!$Y$6:$Y$500&lt;&gt;"Not Started")*('Master Schedule'!$F$6:$F$500="Low")*('Master Schedule'!$A$6:$A$500&lt;&gt;""))</f>
        <v/>
      </c>
      <c r="H12" s="35">
        <f>SUMPRODUCT(('Master Schedule'!$Y$6:$Y$500&lt;&gt;"Complete")*('Master Schedule'!$Y$6:$Y$500&lt;&gt;"Not Started")*('Master Schedule'!$J$6:$J$500&lt;0)*('Master Schedule'!$A$6:$A$500&lt;&gt;""))</f>
        <v/>
      </c>
      <c r="I12" s="35">
        <f>SUMPRODUCT(('Master Schedule'!$Y$6:$Y$500&lt;&gt;"Complete")*('Master Schedule'!$Y$6:$Y$500&lt;&gt;"Not Started")*('Master Schedule'!$J$6:$J$500&gt;=0)*('Master Schedule'!$J$6:$J$500&lt;=7)*('Master Schedule'!$A$6:$A$500&lt;&gt;""))</f>
        <v/>
      </c>
      <c r="J12" s="36">
        <f>IFERROR(SUMPRODUCT(('Master Schedule'!$Y$6:$Y$500="Complete")*('Master Schedule'!$A$6:$A$500&lt;&gt;""))/SUMPRODUCT(('Master Schedule'!$A$6:$A$500&lt;&gt;"")*1),0)</f>
        <v/>
      </c>
    </row>
    <row r="13">
      <c r="A13" t="inlineStr">
        <is>
          <t>Fabrication 1</t>
        </is>
      </c>
      <c r="B13">
        <f>SUMPRODUCT(('Master Schedule'!$AC$6:$AC$500&lt;&gt;"Complete")*('Master Schedule'!$AC$6:$AC$500&lt;&gt;"Not Started")*('Master Schedule'!$A$6:$A$500&lt;&gt;""))</f>
        <v/>
      </c>
      <c r="C13">
        <f>SUMPRODUCT(('Master Schedule'!$AC$6:$AC$500&lt;&gt;"Complete")*('Master Schedule'!$A$6:$A$500&lt;&gt;"")*'Master Schedule'!$AD$6:$AD$500)</f>
        <v/>
      </c>
      <c r="D13">
        <f>SUMPRODUCT(('Master Schedule'!$AC$6:$AC$500&lt;&gt;"Complete")*('Master Schedule'!$AC$6:$AC$500&lt;&gt;"Not Started")*('Master Schedule'!$F$6:$F$500="Urgent")*('Master Schedule'!$A$6:$A$500&lt;&gt;""))</f>
        <v/>
      </c>
      <c r="E13">
        <f>SUMPRODUCT(('Master Schedule'!$AC$6:$AC$500&lt;&gt;"Complete")*('Master Schedule'!$AC$6:$AC$500&lt;&gt;"Not Started")*('Master Schedule'!$F$6:$F$500="High")*('Master Schedule'!$A$6:$A$500&lt;&gt;""))</f>
        <v/>
      </c>
      <c r="F13">
        <f>SUMPRODUCT(('Master Schedule'!$AC$6:$AC$500&lt;&gt;"Complete")*('Master Schedule'!$AC$6:$AC$500&lt;&gt;"Not Started")*('Master Schedule'!$F$6:$F$500="Normal")*('Master Schedule'!$A$6:$A$500&lt;&gt;""))</f>
        <v/>
      </c>
      <c r="G13">
        <f>SUMPRODUCT(('Master Schedule'!$AC$6:$AC$500&lt;&gt;"Complete")*('Master Schedule'!$AC$6:$AC$500&lt;&gt;"Not Started")*('Master Schedule'!$F$6:$F$500="Low")*('Master Schedule'!$A$6:$A$500&lt;&gt;""))</f>
        <v/>
      </c>
      <c r="H13">
        <f>SUMPRODUCT(('Master Schedule'!$AC$6:$AC$500&lt;&gt;"Complete")*('Master Schedule'!$AC$6:$AC$500&lt;&gt;"Not Started")*('Master Schedule'!$J$6:$J$500&lt;0)*('Master Schedule'!$A$6:$A$500&lt;&gt;""))</f>
        <v/>
      </c>
      <c r="I13">
        <f>SUMPRODUCT(('Master Schedule'!$AC$6:$AC$500&lt;&gt;"Complete")*('Master Schedule'!$AC$6:$AC$500&lt;&gt;"Not Started")*('Master Schedule'!$J$6:$J$500&gt;=0)*('Master Schedule'!$J$6:$J$500&lt;=7)*('Master Schedule'!$A$6:$A$500&lt;&gt;""))</f>
        <v/>
      </c>
      <c r="J13" s="34">
        <f>IFERROR(SUMPRODUCT(('Master Schedule'!$AC$6:$AC$500="Complete")*('Master Schedule'!$A$6:$A$500&lt;&gt;""))/SUMPRODUCT(('Master Schedule'!$A$6:$A$500&lt;&gt;"")*1),0)</f>
        <v/>
      </c>
    </row>
    <row r="14">
      <c r="A14" s="35" t="inlineStr">
        <is>
          <t>Fabrication 2</t>
        </is>
      </c>
      <c r="B14" s="35">
        <f>SUMPRODUCT(('Master Schedule'!$AG$6:$AG$500&lt;&gt;"Complete")*('Master Schedule'!$AG$6:$AG$500&lt;&gt;"Not Started")*('Master Schedule'!$A$6:$A$500&lt;&gt;""))</f>
        <v/>
      </c>
      <c r="C14" s="35">
        <f>SUMPRODUCT(('Master Schedule'!$AG$6:$AG$500&lt;&gt;"Complete")*('Master Schedule'!$A$6:$A$500&lt;&gt;"")*'Master Schedule'!$AH$6:$AH$500)</f>
        <v/>
      </c>
      <c r="D14" s="35">
        <f>SUMPRODUCT(('Master Schedule'!$AG$6:$AG$500&lt;&gt;"Complete")*('Master Schedule'!$AG$6:$AG$500&lt;&gt;"Not Started")*('Master Schedule'!$F$6:$F$500="Urgent")*('Master Schedule'!$A$6:$A$500&lt;&gt;""))</f>
        <v/>
      </c>
      <c r="E14" s="35">
        <f>SUMPRODUCT(('Master Schedule'!$AG$6:$AG$500&lt;&gt;"Complete")*('Master Schedule'!$AG$6:$AG$500&lt;&gt;"Not Started")*('Master Schedule'!$F$6:$F$500="High")*('Master Schedule'!$A$6:$A$500&lt;&gt;""))</f>
        <v/>
      </c>
      <c r="F14" s="35">
        <f>SUMPRODUCT(('Master Schedule'!$AG$6:$AG$500&lt;&gt;"Complete")*('Master Schedule'!$AG$6:$AG$500&lt;&gt;"Not Started")*('Master Schedule'!$F$6:$F$500="Normal")*('Master Schedule'!$A$6:$A$500&lt;&gt;""))</f>
        <v/>
      </c>
      <c r="G14" s="35">
        <f>SUMPRODUCT(('Master Schedule'!$AG$6:$AG$500&lt;&gt;"Complete")*('Master Schedule'!$AG$6:$AG$500&lt;&gt;"Not Started")*('Master Schedule'!$F$6:$F$500="Low")*('Master Schedule'!$A$6:$A$500&lt;&gt;""))</f>
        <v/>
      </c>
      <c r="H14" s="35">
        <f>SUMPRODUCT(('Master Schedule'!$AG$6:$AG$500&lt;&gt;"Complete")*('Master Schedule'!$AG$6:$AG$500&lt;&gt;"Not Started")*('Master Schedule'!$J$6:$J$500&lt;0)*('Master Schedule'!$A$6:$A$500&lt;&gt;""))</f>
        <v/>
      </c>
      <c r="I14" s="35">
        <f>SUMPRODUCT(('Master Schedule'!$AG$6:$AG$500&lt;&gt;"Complete")*('Master Schedule'!$AG$6:$AG$500&lt;&gt;"Not Started")*('Master Schedule'!$J$6:$J$500&gt;=0)*('Master Schedule'!$J$6:$J$500&lt;=7)*('Master Schedule'!$A$6:$A$500&lt;&gt;""))</f>
        <v/>
      </c>
      <c r="J14" s="36">
        <f>IFERROR(SUMPRODUCT(('Master Schedule'!$AG$6:$AG$500="Complete")*('Master Schedule'!$A$6:$A$500&lt;&gt;""))/SUMPRODUCT(('Master Schedule'!$A$6:$A$500&lt;&gt;"")*1),0)</f>
        <v/>
      </c>
    </row>
    <row r="15">
      <c r="A15" t="inlineStr">
        <is>
          <t>Weld 1</t>
        </is>
      </c>
      <c r="B15">
        <f>SUMPRODUCT(('Master Schedule'!$AK$6:$AK$500&lt;&gt;"Complete")*('Master Schedule'!$AK$6:$AK$500&lt;&gt;"Not Started")*('Master Schedule'!$A$6:$A$500&lt;&gt;""))</f>
        <v/>
      </c>
      <c r="C15">
        <f>SUMPRODUCT(('Master Schedule'!$AK$6:$AK$500&lt;&gt;"Complete")*('Master Schedule'!$A$6:$A$500&lt;&gt;"")*'Master Schedule'!$AL$6:$AL$500)</f>
        <v/>
      </c>
      <c r="D15">
        <f>SUMPRODUCT(('Master Schedule'!$AK$6:$AK$500&lt;&gt;"Complete")*('Master Schedule'!$AK$6:$AK$500&lt;&gt;"Not Started")*('Master Schedule'!$F$6:$F$500="Urgent")*('Master Schedule'!$A$6:$A$500&lt;&gt;""))</f>
        <v/>
      </c>
      <c r="E15">
        <f>SUMPRODUCT(('Master Schedule'!$AK$6:$AK$500&lt;&gt;"Complete")*('Master Schedule'!$AK$6:$AK$500&lt;&gt;"Not Started")*('Master Schedule'!$F$6:$F$500="High")*('Master Schedule'!$A$6:$A$500&lt;&gt;""))</f>
        <v/>
      </c>
      <c r="F15">
        <f>SUMPRODUCT(('Master Schedule'!$AK$6:$AK$500&lt;&gt;"Complete")*('Master Schedule'!$AK$6:$AK$500&lt;&gt;"Not Started")*('Master Schedule'!$F$6:$F$500="Normal")*('Master Schedule'!$A$6:$A$500&lt;&gt;""))</f>
        <v/>
      </c>
      <c r="G15">
        <f>SUMPRODUCT(('Master Schedule'!$AK$6:$AK$500&lt;&gt;"Complete")*('Master Schedule'!$AK$6:$AK$500&lt;&gt;"Not Started")*('Master Schedule'!$F$6:$F$500="Low")*('Master Schedule'!$A$6:$A$500&lt;&gt;""))</f>
        <v/>
      </c>
      <c r="H15">
        <f>SUMPRODUCT(('Master Schedule'!$AK$6:$AK$500&lt;&gt;"Complete")*('Master Schedule'!$AK$6:$AK$500&lt;&gt;"Not Started")*('Master Schedule'!$J$6:$J$500&lt;0)*('Master Schedule'!$A$6:$A$500&lt;&gt;""))</f>
        <v/>
      </c>
      <c r="I15">
        <f>SUMPRODUCT(('Master Schedule'!$AK$6:$AK$500&lt;&gt;"Complete")*('Master Schedule'!$AK$6:$AK$500&lt;&gt;"Not Started")*('Master Schedule'!$J$6:$J$500&gt;=0)*('Master Schedule'!$J$6:$J$500&lt;=7)*('Master Schedule'!$A$6:$A$500&lt;&gt;""))</f>
        <v/>
      </c>
      <c r="J15" s="34">
        <f>IFERROR(SUMPRODUCT(('Master Schedule'!$AK$6:$AK$500="Complete")*('Master Schedule'!$A$6:$A$500&lt;&gt;""))/SUMPRODUCT(('Master Schedule'!$A$6:$A$500&lt;&gt;"")*1),0)</f>
        <v/>
      </c>
    </row>
    <row r="16">
      <c r="A16" s="35" t="inlineStr">
        <is>
          <t>Weld 2</t>
        </is>
      </c>
      <c r="B16" s="35">
        <f>SUMPRODUCT(('Master Schedule'!$AO$6:$AO$500&lt;&gt;"Complete")*('Master Schedule'!$AO$6:$AO$500&lt;&gt;"Not Started")*('Master Schedule'!$A$6:$A$500&lt;&gt;""))</f>
        <v/>
      </c>
      <c r="C16" s="35">
        <f>SUMPRODUCT(('Master Schedule'!$AO$6:$AO$500&lt;&gt;"Complete")*('Master Schedule'!$A$6:$A$500&lt;&gt;"")*'Master Schedule'!$AP$6:$AP$500)</f>
        <v/>
      </c>
      <c r="D16" s="35">
        <f>SUMPRODUCT(('Master Schedule'!$AO$6:$AO$500&lt;&gt;"Complete")*('Master Schedule'!$AO$6:$AO$500&lt;&gt;"Not Started")*('Master Schedule'!$F$6:$F$500="Urgent")*('Master Schedule'!$A$6:$A$500&lt;&gt;""))</f>
        <v/>
      </c>
      <c r="E16" s="35">
        <f>SUMPRODUCT(('Master Schedule'!$AO$6:$AO$500&lt;&gt;"Complete")*('Master Schedule'!$AO$6:$AO$500&lt;&gt;"Not Started")*('Master Schedule'!$F$6:$F$500="High")*('Master Schedule'!$A$6:$A$500&lt;&gt;""))</f>
        <v/>
      </c>
      <c r="F16" s="35">
        <f>SUMPRODUCT(('Master Schedule'!$AO$6:$AO$500&lt;&gt;"Complete")*('Master Schedule'!$AO$6:$AO$500&lt;&gt;"Not Started")*('Master Schedule'!$F$6:$F$500="Normal")*('Master Schedule'!$A$6:$A$500&lt;&gt;""))</f>
        <v/>
      </c>
      <c r="G16" s="35">
        <f>SUMPRODUCT(('Master Schedule'!$AO$6:$AO$500&lt;&gt;"Complete")*('Master Schedule'!$AO$6:$AO$500&lt;&gt;"Not Started")*('Master Schedule'!$F$6:$F$500="Low")*('Master Schedule'!$A$6:$A$500&lt;&gt;""))</f>
        <v/>
      </c>
      <c r="H16" s="35">
        <f>SUMPRODUCT(('Master Schedule'!$AO$6:$AO$500&lt;&gt;"Complete")*('Master Schedule'!$AO$6:$AO$500&lt;&gt;"Not Started")*('Master Schedule'!$J$6:$J$500&lt;0)*('Master Schedule'!$A$6:$A$500&lt;&gt;""))</f>
        <v/>
      </c>
      <c r="I16" s="35">
        <f>SUMPRODUCT(('Master Schedule'!$AO$6:$AO$500&lt;&gt;"Complete")*('Master Schedule'!$AO$6:$AO$500&lt;&gt;"Not Started")*('Master Schedule'!$J$6:$J$500&gt;=0)*('Master Schedule'!$J$6:$J$500&lt;=7)*('Master Schedule'!$A$6:$A$500&lt;&gt;""))</f>
        <v/>
      </c>
      <c r="J16" s="36">
        <f>IFERROR(SUMPRODUCT(('Master Schedule'!$AO$6:$AO$500="Complete")*('Master Schedule'!$A$6:$A$500&lt;&gt;""))/SUMPRODUCT(('Master Schedule'!$A$6:$A$500&lt;&gt;"")*1),0)</f>
        <v/>
      </c>
    </row>
    <row r="17">
      <c r="A17" t="inlineStr">
        <is>
          <t>Weld 3</t>
        </is>
      </c>
      <c r="B17">
        <f>SUMPRODUCT(('Master Schedule'!$AS$6:$AS$500&lt;&gt;"Complete")*('Master Schedule'!$AS$6:$AS$500&lt;&gt;"Not Started")*('Master Schedule'!$A$6:$A$500&lt;&gt;""))</f>
        <v/>
      </c>
      <c r="C17">
        <f>SUMPRODUCT(('Master Schedule'!$AS$6:$AS$500&lt;&gt;"Complete")*('Master Schedule'!$A$6:$A$500&lt;&gt;"")*'Master Schedule'!$AT$6:$AT$500)</f>
        <v/>
      </c>
      <c r="D17">
        <f>SUMPRODUCT(('Master Schedule'!$AS$6:$AS$500&lt;&gt;"Complete")*('Master Schedule'!$AS$6:$AS$500&lt;&gt;"Not Started")*('Master Schedule'!$F$6:$F$500="Urgent")*('Master Schedule'!$A$6:$A$500&lt;&gt;""))</f>
        <v/>
      </c>
      <c r="E17">
        <f>SUMPRODUCT(('Master Schedule'!$AS$6:$AS$500&lt;&gt;"Complete")*('Master Schedule'!$AS$6:$AS$500&lt;&gt;"Not Started")*('Master Schedule'!$F$6:$F$500="High")*('Master Schedule'!$A$6:$A$500&lt;&gt;""))</f>
        <v/>
      </c>
      <c r="F17">
        <f>SUMPRODUCT(('Master Schedule'!$AS$6:$AS$500&lt;&gt;"Complete")*('Master Schedule'!$AS$6:$AS$500&lt;&gt;"Not Started")*('Master Schedule'!$F$6:$F$500="Normal")*('Master Schedule'!$A$6:$A$500&lt;&gt;""))</f>
        <v/>
      </c>
      <c r="G17">
        <f>SUMPRODUCT(('Master Schedule'!$AS$6:$AS$500&lt;&gt;"Complete")*('Master Schedule'!$AS$6:$AS$500&lt;&gt;"Not Started")*('Master Schedule'!$F$6:$F$500="Low")*('Master Schedule'!$A$6:$A$500&lt;&gt;""))</f>
        <v/>
      </c>
      <c r="H17">
        <f>SUMPRODUCT(('Master Schedule'!$AS$6:$AS$500&lt;&gt;"Complete")*('Master Schedule'!$AS$6:$AS$500&lt;&gt;"Not Started")*('Master Schedule'!$J$6:$J$500&lt;0)*('Master Schedule'!$A$6:$A$500&lt;&gt;""))</f>
        <v/>
      </c>
      <c r="I17">
        <f>SUMPRODUCT(('Master Schedule'!$AS$6:$AS$500&lt;&gt;"Complete")*('Master Schedule'!$AS$6:$AS$500&lt;&gt;"Not Started")*('Master Schedule'!$J$6:$J$500&gt;=0)*('Master Schedule'!$J$6:$J$500&lt;=7)*('Master Schedule'!$A$6:$A$500&lt;&gt;""))</f>
        <v/>
      </c>
      <c r="J17" s="34">
        <f>IFERROR(SUMPRODUCT(('Master Schedule'!$AS$6:$AS$500="Complete")*('Master Schedule'!$A$6:$A$500&lt;&gt;""))/SUMPRODUCT(('Master Schedule'!$A$6:$A$500&lt;&gt;"")*1),0)</f>
        <v/>
      </c>
    </row>
    <row r="18">
      <c r="A18" s="35" t="inlineStr">
        <is>
          <t>Blast</t>
        </is>
      </c>
      <c r="B18" s="35">
        <f>SUMPRODUCT(('Master Schedule'!$AW$6:$AW$500&lt;&gt;"Complete")*('Master Schedule'!$AW$6:$AW$500&lt;&gt;"Not Started")*('Master Schedule'!$A$6:$A$500&lt;&gt;""))</f>
        <v/>
      </c>
      <c r="C18" s="35">
        <f>SUMPRODUCT(('Master Schedule'!$AW$6:$AW$500&lt;&gt;"Complete")*('Master Schedule'!$A$6:$A$500&lt;&gt;"")*'Master Schedule'!$AX$6:$AX$500)</f>
        <v/>
      </c>
      <c r="D18" s="35">
        <f>SUMPRODUCT(('Master Schedule'!$AW$6:$AW$500&lt;&gt;"Complete")*('Master Schedule'!$AW$6:$AW$500&lt;&gt;"Not Started")*('Master Schedule'!$F$6:$F$500="Urgent")*('Master Schedule'!$A$6:$A$500&lt;&gt;""))</f>
        <v/>
      </c>
      <c r="E18" s="35">
        <f>SUMPRODUCT(('Master Schedule'!$AW$6:$AW$500&lt;&gt;"Complete")*('Master Schedule'!$AW$6:$AW$500&lt;&gt;"Not Started")*('Master Schedule'!$F$6:$F$500="High")*('Master Schedule'!$A$6:$A$500&lt;&gt;""))</f>
        <v/>
      </c>
      <c r="F18" s="35">
        <f>SUMPRODUCT(('Master Schedule'!$AW$6:$AW$500&lt;&gt;"Complete")*('Master Schedule'!$AW$6:$AW$500&lt;&gt;"Not Started")*('Master Schedule'!$F$6:$F$500="Normal")*('Master Schedule'!$A$6:$A$500&lt;&gt;""))</f>
        <v/>
      </c>
      <c r="G18" s="35">
        <f>SUMPRODUCT(('Master Schedule'!$AW$6:$AW$500&lt;&gt;"Complete")*('Master Schedule'!$AW$6:$AW$500&lt;&gt;"Not Started")*('Master Schedule'!$F$6:$F$500="Low")*('Master Schedule'!$A$6:$A$500&lt;&gt;""))</f>
        <v/>
      </c>
      <c r="H18" s="35">
        <f>SUMPRODUCT(('Master Schedule'!$AW$6:$AW$500&lt;&gt;"Complete")*('Master Schedule'!$AW$6:$AW$500&lt;&gt;"Not Started")*('Master Schedule'!$J$6:$J$500&lt;0)*('Master Schedule'!$A$6:$A$500&lt;&gt;""))</f>
        <v/>
      </c>
      <c r="I18" s="35">
        <f>SUMPRODUCT(('Master Schedule'!$AW$6:$AW$500&lt;&gt;"Complete")*('Master Schedule'!$AW$6:$AW$500&lt;&gt;"Not Started")*('Master Schedule'!$J$6:$J$500&gt;=0)*('Master Schedule'!$J$6:$J$500&lt;=7)*('Master Schedule'!$A$6:$A$500&lt;&gt;""))</f>
        <v/>
      </c>
      <c r="J18" s="36">
        <f>IFERROR(SUMPRODUCT(('Master Schedule'!$AW$6:$AW$500="Complete")*('Master Schedule'!$A$6:$A$500&lt;&gt;""))/SUMPRODUCT(('Master Schedule'!$A$6:$A$500&lt;&gt;"")*1),0)</f>
        <v/>
      </c>
    </row>
    <row r="19">
      <c r="A19" t="inlineStr">
        <is>
          <t>Paint</t>
        </is>
      </c>
      <c r="B19">
        <f>SUMPRODUCT(('Master Schedule'!$BA$6:$BA$500&lt;&gt;"Complete")*('Master Schedule'!$BA$6:$BA$500&lt;&gt;"Not Started")*('Master Schedule'!$A$6:$A$500&lt;&gt;""))</f>
        <v/>
      </c>
      <c r="C19">
        <f>SUMPRODUCT(('Master Schedule'!$BA$6:$BA$500&lt;&gt;"Complete")*('Master Schedule'!$A$6:$A$500&lt;&gt;"")*'Master Schedule'!$BB$6:$BB$500)</f>
        <v/>
      </c>
      <c r="D19">
        <f>SUMPRODUCT(('Master Schedule'!$BA$6:$BA$500&lt;&gt;"Complete")*('Master Schedule'!$BA$6:$BA$500&lt;&gt;"Not Started")*('Master Schedule'!$F$6:$F$500="Urgent")*('Master Schedule'!$A$6:$A$500&lt;&gt;""))</f>
        <v/>
      </c>
      <c r="E19">
        <f>SUMPRODUCT(('Master Schedule'!$BA$6:$BA$500&lt;&gt;"Complete")*('Master Schedule'!$BA$6:$BA$500&lt;&gt;"Not Started")*('Master Schedule'!$F$6:$F$500="High")*('Master Schedule'!$A$6:$A$500&lt;&gt;""))</f>
        <v/>
      </c>
      <c r="F19">
        <f>SUMPRODUCT(('Master Schedule'!$BA$6:$BA$500&lt;&gt;"Complete")*('Master Schedule'!$BA$6:$BA$500&lt;&gt;"Not Started")*('Master Schedule'!$F$6:$F$500="Normal")*('Master Schedule'!$A$6:$A$500&lt;&gt;""))</f>
        <v/>
      </c>
      <c r="G19">
        <f>SUMPRODUCT(('Master Schedule'!$BA$6:$BA$500&lt;&gt;"Complete")*('Master Schedule'!$BA$6:$BA$500&lt;&gt;"Not Started")*('Master Schedule'!$F$6:$F$500="Low")*('Master Schedule'!$A$6:$A$500&lt;&gt;""))</f>
        <v/>
      </c>
      <c r="H19">
        <f>SUMPRODUCT(('Master Schedule'!$BA$6:$BA$500&lt;&gt;"Complete")*('Master Schedule'!$BA$6:$BA$500&lt;&gt;"Not Started")*('Master Schedule'!$J$6:$J$500&lt;0)*('Master Schedule'!$A$6:$A$500&lt;&gt;""))</f>
        <v/>
      </c>
      <c r="I19">
        <f>SUMPRODUCT(('Master Schedule'!$BA$6:$BA$500&lt;&gt;"Complete")*('Master Schedule'!$BA$6:$BA$500&lt;&gt;"Not Started")*('Master Schedule'!$J$6:$J$500&gt;=0)*('Master Schedule'!$J$6:$J$500&lt;=7)*('Master Schedule'!$A$6:$A$500&lt;&gt;""))</f>
        <v/>
      </c>
      <c r="J19" s="34">
        <f>IFERROR(SUMPRODUCT(('Master Schedule'!$BA$6:$BA$500="Complete")*('Master Schedule'!$A$6:$A$500&lt;&gt;""))/SUMPRODUCT(('Master Schedule'!$A$6:$A$500&lt;&gt;"")*1),0)</f>
        <v/>
      </c>
    </row>
    <row r="20">
      <c r="A20" s="35" t="inlineStr">
        <is>
          <t>Assembly 1</t>
        </is>
      </c>
      <c r="B20" s="35">
        <f>SUMPRODUCT(('Master Schedule'!$BE$6:$BE$500&lt;&gt;"Complete")*('Master Schedule'!$BE$6:$BE$500&lt;&gt;"Not Started")*('Master Schedule'!$A$6:$A$500&lt;&gt;""))</f>
        <v/>
      </c>
      <c r="C20" s="35">
        <f>SUMPRODUCT(('Master Schedule'!$BE$6:$BE$500&lt;&gt;"Complete")*('Master Schedule'!$A$6:$A$500&lt;&gt;"")*'Master Schedule'!$BF$6:$BF$500)</f>
        <v/>
      </c>
      <c r="D20" s="35">
        <f>SUMPRODUCT(('Master Schedule'!$BE$6:$BE$500&lt;&gt;"Complete")*('Master Schedule'!$BE$6:$BE$500&lt;&gt;"Not Started")*('Master Schedule'!$F$6:$F$500="Urgent")*('Master Schedule'!$A$6:$A$500&lt;&gt;""))</f>
        <v/>
      </c>
      <c r="E20" s="35">
        <f>SUMPRODUCT(('Master Schedule'!$BE$6:$BE$500&lt;&gt;"Complete")*('Master Schedule'!$BE$6:$BE$500&lt;&gt;"Not Started")*('Master Schedule'!$F$6:$F$500="High")*('Master Schedule'!$A$6:$A$500&lt;&gt;""))</f>
        <v/>
      </c>
      <c r="F20" s="35">
        <f>SUMPRODUCT(('Master Schedule'!$BE$6:$BE$500&lt;&gt;"Complete")*('Master Schedule'!$BE$6:$BE$500&lt;&gt;"Not Started")*('Master Schedule'!$F$6:$F$500="Normal")*('Master Schedule'!$A$6:$A$500&lt;&gt;""))</f>
        <v/>
      </c>
      <c r="G20" s="35">
        <f>SUMPRODUCT(('Master Schedule'!$BE$6:$BE$500&lt;&gt;"Complete")*('Master Schedule'!$BE$6:$BE$500&lt;&gt;"Not Started")*('Master Schedule'!$F$6:$F$500="Low")*('Master Schedule'!$A$6:$A$500&lt;&gt;""))</f>
        <v/>
      </c>
      <c r="H20" s="35">
        <f>SUMPRODUCT(('Master Schedule'!$BE$6:$BE$500&lt;&gt;"Complete")*('Master Schedule'!$BE$6:$BE$500&lt;&gt;"Not Started")*('Master Schedule'!$J$6:$J$500&lt;0)*('Master Schedule'!$A$6:$A$500&lt;&gt;""))</f>
        <v/>
      </c>
      <c r="I20" s="35">
        <f>SUMPRODUCT(('Master Schedule'!$BE$6:$BE$500&lt;&gt;"Complete")*('Master Schedule'!$BE$6:$BE$500&lt;&gt;"Not Started")*('Master Schedule'!$J$6:$J$500&gt;=0)*('Master Schedule'!$J$6:$J$500&lt;=7)*('Master Schedule'!$A$6:$A$500&lt;&gt;""))</f>
        <v/>
      </c>
      <c r="J20" s="36">
        <f>IFERROR(SUMPRODUCT(('Master Schedule'!$BE$6:$BE$500="Complete")*('Master Schedule'!$A$6:$A$500&lt;&gt;""))/SUMPRODUCT(('Master Schedule'!$A$6:$A$500&lt;&gt;"")*1),0)</f>
        <v/>
      </c>
    </row>
    <row r="21">
      <c r="A21" t="inlineStr">
        <is>
          <t>Assembly 2</t>
        </is>
      </c>
      <c r="B21">
        <f>SUMPRODUCT(('Master Schedule'!$BI$6:$BI$500&lt;&gt;"Complete")*('Master Schedule'!$BI$6:$BI$500&lt;&gt;"Not Started")*('Master Schedule'!$A$6:$A$500&lt;&gt;""))</f>
        <v/>
      </c>
      <c r="C21">
        <f>SUMPRODUCT(('Master Schedule'!$BI$6:$BI$500&lt;&gt;"Complete")*('Master Schedule'!$A$6:$A$500&lt;&gt;"")*'Master Schedule'!$BJ$6:$BJ$500)</f>
        <v/>
      </c>
      <c r="D21">
        <f>SUMPRODUCT(('Master Schedule'!$BI$6:$BI$500&lt;&gt;"Complete")*('Master Schedule'!$BI$6:$BI$500&lt;&gt;"Not Started")*('Master Schedule'!$F$6:$F$500="Urgent")*('Master Schedule'!$A$6:$A$500&lt;&gt;""))</f>
        <v/>
      </c>
      <c r="E21">
        <f>SUMPRODUCT(('Master Schedule'!$BI$6:$BI$500&lt;&gt;"Complete")*('Master Schedule'!$BI$6:$BI$500&lt;&gt;"Not Started")*('Master Schedule'!$F$6:$F$500="High")*('Master Schedule'!$A$6:$A$500&lt;&gt;""))</f>
        <v/>
      </c>
      <c r="F21">
        <f>SUMPRODUCT(('Master Schedule'!$BI$6:$BI$500&lt;&gt;"Complete")*('Master Schedule'!$BI$6:$BI$500&lt;&gt;"Not Started")*('Master Schedule'!$F$6:$F$500="Normal")*('Master Schedule'!$A$6:$A$500&lt;&gt;""))</f>
        <v/>
      </c>
      <c r="G21">
        <f>SUMPRODUCT(('Master Schedule'!$BI$6:$BI$500&lt;&gt;"Complete")*('Master Schedule'!$BI$6:$BI$500&lt;&gt;"Not Started")*('Master Schedule'!$F$6:$F$500="Low")*('Master Schedule'!$A$6:$A$500&lt;&gt;""))</f>
        <v/>
      </c>
      <c r="H21">
        <f>SUMPRODUCT(('Master Schedule'!$BI$6:$BI$500&lt;&gt;"Complete")*('Master Schedule'!$BI$6:$BI$500&lt;&gt;"Not Started")*('Master Schedule'!$J$6:$J$500&lt;0)*('Master Schedule'!$A$6:$A$500&lt;&gt;""))</f>
        <v/>
      </c>
      <c r="I21">
        <f>SUMPRODUCT(('Master Schedule'!$BI$6:$BI$500&lt;&gt;"Complete")*('Master Schedule'!$BI$6:$BI$500&lt;&gt;"Not Started")*('Master Schedule'!$J$6:$J$500&gt;=0)*('Master Schedule'!$J$6:$J$500&lt;=7)*('Master Schedule'!$A$6:$A$500&lt;&gt;""))</f>
        <v/>
      </c>
      <c r="J21" s="34">
        <f>IFERROR(SUMPRODUCT(('Master Schedule'!$BI$6:$BI$500="Complete")*('Master Schedule'!$A$6:$A$500&lt;&gt;""))/SUMPRODUCT(('Master Schedule'!$A$6:$A$500&lt;&gt;"")*1),0)</f>
        <v/>
      </c>
    </row>
    <row r="22">
      <c r="A22" s="37" t="inlineStr">
        <is>
          <t>TOTAL</t>
        </is>
      </c>
      <c r="B22" s="37">
        <f>SUM(B9:B21)</f>
        <v/>
      </c>
      <c r="C22" s="37">
        <f>SUM(C9:C21)</f>
        <v/>
      </c>
      <c r="D22" s="37">
        <f>SUM(D9:D21)</f>
        <v/>
      </c>
      <c r="E22" s="37">
        <f>SUM(E9:E21)</f>
        <v/>
      </c>
      <c r="F22" s="37">
        <f>SUM(F9:F21)</f>
        <v/>
      </c>
      <c r="G22" s="37">
        <f>SUM(G9:G21)</f>
        <v/>
      </c>
      <c r="H22" s="37">
        <f>SUM(H9:H21)</f>
        <v/>
      </c>
      <c r="I22" s="37">
        <f>SUM(I9:I21)</f>
        <v/>
      </c>
    </row>
  </sheetData>
  <mergeCells count="14">
    <mergeCell ref="J5:L5"/>
    <mergeCell ref="A2:L2"/>
    <mergeCell ref="J6:L6"/>
    <mergeCell ref="D5:F5"/>
    <mergeCell ref="A5:C5"/>
    <mergeCell ref="G5:I5"/>
    <mergeCell ref="G6:I6"/>
    <mergeCell ref="A1:L1"/>
    <mergeCell ref="A6:C6"/>
    <mergeCell ref="D4:F4"/>
    <mergeCell ref="G4:I4"/>
    <mergeCell ref="J4:L4"/>
    <mergeCell ref="A4:C4"/>
    <mergeCell ref="D6:F6"/>
  </mergeCells>
  <conditionalFormatting sqref="H9:H21">
    <cfRule type="expression" priority="1" dxfId="1">
      <formula>$H9&gt;0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K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8" customWidth="1" min="10" max="10"/>
    <col width="30" customWidth="1" min="11" max="11"/>
  </cols>
  <sheetData>
    <row r="1" ht="28" customHeight="1">
      <c r="A1" s="38" t="inlineStr">
        <is>
          <t>QUEUE — ALL STATIONS</t>
        </is>
      </c>
    </row>
    <row r="2">
      <c r="A2" s="39" t="inlineStr">
        <is>
          <t>Use dropdowns to filter by Work Centre and Priority</t>
        </is>
      </c>
    </row>
    <row r="4">
      <c r="A4" s="37" t="inlineStr">
        <is>
          <t>Work Centre:</t>
        </is>
      </c>
      <c r="B4" t="inlineStr">
        <is>
          <t>All</t>
        </is>
      </c>
      <c r="C4" s="37" t="inlineStr">
        <is>
          <t>Priority:</t>
        </is>
      </c>
      <c r="D4" t="inlineStr">
        <is>
          <t>All</t>
        </is>
      </c>
    </row>
    <row r="6" ht="6" customHeight="1"/>
    <row r="7" ht="20" customHeight="1">
      <c r="A7" s="40" t="inlineStr">
        <is>
          <t>#</t>
        </is>
      </c>
      <c r="B7" s="40" t="inlineStr">
        <is>
          <t>Job ID</t>
        </is>
      </c>
      <c r="C7" s="40" t="inlineStr">
        <is>
          <t>Customer</t>
        </is>
      </c>
      <c r="D7" s="40" t="inlineStr">
        <is>
          <t>Product/Description</t>
        </is>
      </c>
      <c r="E7" s="40" t="inlineStr">
        <is>
          <t>Drawing Ref</t>
        </is>
      </c>
      <c r="F7" s="40" t="inlineStr">
        <is>
          <t>Job Priority</t>
        </is>
      </c>
      <c r="G7" s="40" t="inlineStr">
        <is>
          <t>Overall Status</t>
        </is>
      </c>
      <c r="H7" s="40" t="inlineStr">
        <is>
          <t>Order Due Date</t>
        </is>
      </c>
      <c r="I7" s="40" t="inlineStr">
        <is>
          <t>Days Until Due</t>
        </is>
      </c>
      <c r="J7" s="40" t="inlineStr">
        <is>
          <t>Assigned Station</t>
        </is>
      </c>
      <c r="K7" s="40" t="inlineStr">
        <is>
          <t>Notes</t>
        </is>
      </c>
    </row>
    <row r="8">
      <c r="A8">
        <f>IFERROR(_xlfn._xlws.SEQUENCE(ROWS(_xlfn._xlws.FILTER('Master Schedule'!$A$6:$A$500,('Master Schedule'!$A$6:$A$500&lt;&gt;"")*IF($D$4="All",1,'Master Schedule'!$F$6:$F$500=$D$4)))),"")</f>
        <v/>
      </c>
      <c r="B8">
        <f>IFERROR(_xlfn._xlws.SORTBY(_xlfn._xlws.FILTER('Master Schedule'!$A$6:$A$500,('Master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C8">
        <f>IFERROR(_xlfn._xlws.SORTBY(_xlfn._xlws.FILTER('Master Schedule'!$B$6:$B$500,('Master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D8">
        <f>IFERROR(_xlfn._xlws.SORTBY(_xlfn._xlws.FILTER('Master Schedule'!$C$6:$C$500,('Master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E8">
        <f>IFERROR(_xlfn._xlws.SORTBY(_xlfn._xlws.FILTER('Master Schedule'!$E$6:$E$500,('Master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F8">
        <f>IFERROR(_xlfn._xlws.SORTBY(_xlfn._xlws.FILTER('Master Schedule'!$F$6:$F$500,('Master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G8">
        <f>IFERROR(_xlfn._xlws.SORTBY(_xlfn._xlws.FILTER('Master Schedule'!$G$6:$G$500,('Master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H8">
        <f>IFERROR(_xlfn._xlws.SORTBY(_xlfn._xlws.FILTER('Master Schedule'!$H$6:$H$500,('Master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I8">
        <f>IFERROR(_xlfn._xlws.SORTBY(_xlfn._xlws.FILTER('Master Schedule'!$J$6:$J$500,('Master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J8">
        <f>IFERROR(_xlfn._xlws.SORTBY(_xlfn._xlws.FILTER('Master Schedule'!$G$6:$G$500,('Master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  <c r="K8">
        <f>IFERROR(_xlfn._xlws.SORTBY(_xlfn._xlws.FILTER('Master Schedule'!$L$6:$L$500,('Master Schedule'!$A$6:$A$500&lt;&gt;"")*IF($D$4="All",1,'Master Schedule'!$F$6:$F$500=$D$4)),_xlfn._xlws.FILTER('Master Schedule'!$K$6:$K$500,('Master Schedule'!$A$6:$A$500&lt;&gt;"")*IF($D$4="All",1,'Master Schedule'!$F$6:$F$500=$D$4)),1,_xlfn._xlws.FILTER('Master Schedule'!$H$6:$H$500,('Master Schedule'!$A$6:$A$500&lt;&gt;"")*IF($D$4="All",1,'Master Schedule'!$F$6:$F$500=$D$4)),1),"")</f>
        <v/>
      </c>
    </row>
  </sheetData>
  <mergeCells count="2">
    <mergeCell ref="A2:K2"/>
    <mergeCell ref="A1:K1"/>
  </mergeCells>
  <dataValidations count="2">
    <dataValidation sqref="B4" showDropDown="0" showInputMessage="0" showErrorMessage="0" allowBlank="0" type="list">
      <formula1>"All,Profiling,Saw,Machining,Fabrication,Weld,Blast,Paint,Assembly"</formula1>
    </dataValidation>
    <dataValidation sqref="D4" showDropDown="0" showInputMessage="0" showErrorMessage="0" allowBlank="0" type="list">
      <formula1>"All,Urgent,High,Normal,Low"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41" t="inlineStr">
        <is>
          <t>QUEUE — PROFILING</t>
        </is>
      </c>
    </row>
    <row r="2" ht="16" customHeight="1">
      <c r="A2" s="42" t="inlineStr">
        <is>
          <t>Jobs in Queue</t>
        </is>
      </c>
      <c r="D2" s="42" t="inlineStr">
        <is>
          <t>Remaining Hrs</t>
        </is>
      </c>
      <c r="G2" s="42" t="inlineStr">
        <is>
          <t>Overdue</t>
        </is>
      </c>
      <c r="J2" s="42" t="inlineStr">
        <is>
          <t>Urgent</t>
        </is>
      </c>
    </row>
    <row r="3" ht="36" customHeight="1">
      <c r="A3" s="43">
        <f>SUMPRODUCT(('Master Schedule'!$M$6:$M$500&lt;&gt;"Not Started")*('Master Schedule'!$M$6:$M$500&lt;&gt;"Complete")*('Master Schedule'!$A$6:$A$500&lt;&gt;""))</f>
        <v/>
      </c>
      <c r="D3" s="43">
        <f>SUMPRODUCT(('Master Schedule'!$M$6:$M$500&lt;&gt;"Complete")*('Master Schedule'!$A$6:$A$500&lt;&gt;"")*'Master Schedule'!$N$6:$N$500)</f>
        <v/>
      </c>
      <c r="G3" s="43">
        <f>SUMPRODUCT(('Master Schedule'!$M$6:$M$500&lt;&gt;"Not Started")*('Master Schedule'!$M$6:$M$500&lt;&gt;"Complete")*('Master Schedule'!$J$6:$J$500&lt;0)*('Master Schedule'!$A$6:$A$500&lt;&gt;""))</f>
        <v/>
      </c>
      <c r="J3" s="43">
        <f>SUMPRODUCT(('Master Schedule'!$M$6:$M$500&lt;&gt;"Complete")*('Master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4" t="inlineStr">
        <is>
          <t>#</t>
        </is>
      </c>
      <c r="B7" s="14" t="inlineStr">
        <is>
          <t>Job ID</t>
        </is>
      </c>
      <c r="C7" s="14" t="inlineStr">
        <is>
          <t>Customer</t>
        </is>
      </c>
      <c r="D7" s="14" t="inlineStr">
        <is>
          <t>Product/Description</t>
        </is>
      </c>
      <c r="E7" s="14" t="inlineStr">
        <is>
          <t>Drawing Ref</t>
        </is>
      </c>
      <c r="F7" s="14" t="inlineStr">
        <is>
          <t>Job Priority</t>
        </is>
      </c>
      <c r="G7" s="14" t="inlineStr">
        <is>
          <t>Order Due Date</t>
        </is>
      </c>
      <c r="H7" s="14" t="inlineStr">
        <is>
          <t>Days Until Due</t>
        </is>
      </c>
      <c r="I7" s="14" t="inlineStr">
        <is>
          <t>Profiling Status</t>
        </is>
      </c>
      <c r="J7" s="14" t="inlineStr">
        <is>
          <t>Profiling Est Hrs</t>
        </is>
      </c>
      <c r="K7" s="14" t="inlineStr">
        <is>
          <t>Profiling Operator</t>
        </is>
      </c>
      <c r="L7" s="14" t="inlineStr">
        <is>
          <t>Profiling Notes</t>
        </is>
      </c>
    </row>
    <row r="8">
      <c r="A8">
        <f>IFERROR(_xlfn._xlws.SEQUENCE(ROWS(_xlfn._xlws.FILTER('Master Schedule'!$A$6:$A$500,('Master Schedule'!$M$6:$M$500&lt;&gt;"Not Started")*('Master Schedule'!$A$6:$A$500&lt;&gt;"")))),"")</f>
        <v/>
      </c>
      <c r="B8">
        <f>IFERROR(_xlfn._xlws.SORTBY(_xlfn._xlws.FILTER('Master Schedule'!$A$6:$A$500,('Master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C8">
        <f>IFERROR(_xlfn._xlws.SORTBY(_xlfn._xlws.FILTER('Master Schedule'!$B$6:$B$500,('Master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D8">
        <f>IFERROR(_xlfn._xlws.SORTBY(_xlfn._xlws.FILTER('Master Schedule'!$C$6:$C$500,('Master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E8">
        <f>IFERROR(_xlfn._xlws.SORTBY(_xlfn._xlws.FILTER('Master Schedule'!$E$6:$E$500,('Master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F8">
        <f>IFERROR(_xlfn._xlws.SORTBY(_xlfn._xlws.FILTER('Master Schedule'!$F$6:$F$500,('Master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G8">
        <f>IFERROR(_xlfn._xlws.SORTBY(_xlfn._xlws.FILTER('Master Schedule'!$H$6:$H$500,('Master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H8">
        <f>IFERROR(_xlfn._xlws.SORTBY(_xlfn._xlws.FILTER('Master Schedule'!$J$6:$J$500,('Master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I8">
        <f>IFERROR(_xlfn._xlws.SORTBY(_xlfn._xlws.FILTER('Master Schedule'!$M$6:$M$500,('Master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J8">
        <f>IFERROR(_xlfn._xlws.SORTBY(_xlfn._xlws.FILTER('Master Schedule'!$N$6:$N$500,('Master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K8">
        <f>IFERROR(_xlfn._xlws.SORTBY(_xlfn._xlws.FILTER('Master Schedule'!$O$6:$O$500,('Master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  <c r="L8">
        <f>IFERROR(_xlfn._xlws.SORTBY(_xlfn._xlws.FILTER('Master Schedule'!$P$6:$P$500,('Master Schedule'!$M$6:$M$500&lt;&gt;"Not Started")*('Master Schedule'!$A$6:$A$500&lt;&gt;"")),_xlfn._xlws.FILTER('Master Schedule'!$K$6:$K$500,('Master Schedule'!$M$6:$M$500&lt;&gt;"Not Started")*('Master Schedule'!$A$6:$A$500&lt;&gt;"")),1,_xlfn._xlws.FILTER('Master Schedule'!$H$6:$H$500,('Master Schedule'!$M$6:$M$500&lt;&gt;"Not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4513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44" t="inlineStr">
        <is>
          <t>QUEUE — SAW</t>
        </is>
      </c>
    </row>
    <row r="2" ht="16" customHeight="1">
      <c r="A2" s="45" t="inlineStr">
        <is>
          <t>Jobs in Queue</t>
        </is>
      </c>
      <c r="D2" s="45" t="inlineStr">
        <is>
          <t>Remaining Hrs</t>
        </is>
      </c>
      <c r="G2" s="45" t="inlineStr">
        <is>
          <t>Overdue</t>
        </is>
      </c>
      <c r="J2" s="45" t="inlineStr">
        <is>
          <t>Urgent</t>
        </is>
      </c>
    </row>
    <row r="3" ht="36" customHeight="1">
      <c r="A3" s="46">
        <f>SUMPRODUCT(('Master Schedule'!$Q$6:$Q$500&lt;&gt;"Not Started")*('Master Schedule'!$Q$6:$Q$500&lt;&gt;"Complete")*('Master Schedule'!$A$6:$A$500&lt;&gt;""))</f>
        <v/>
      </c>
      <c r="D3" s="46">
        <f>SUMPRODUCT(('Master Schedule'!$Q$6:$Q$500&lt;&gt;"Complete")*('Master Schedule'!$A$6:$A$500&lt;&gt;"")*'Master Schedule'!$R$6:$R$500)</f>
        <v/>
      </c>
      <c r="G3" s="46">
        <f>SUMPRODUCT(('Master Schedule'!$Q$6:$Q$500&lt;&gt;"Not Started")*('Master Schedule'!$Q$6:$Q$500&lt;&gt;"Complete")*('Master Schedule'!$J$6:$J$500&lt;0)*('Master Schedule'!$A$6:$A$500&lt;&gt;""))</f>
        <v/>
      </c>
      <c r="J3" s="46">
        <f>SUMPRODUCT(('Master Schedule'!$Q$6:$Q$500&lt;&gt;"Complete")*('Master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5" t="inlineStr">
        <is>
          <t>#</t>
        </is>
      </c>
      <c r="B7" s="15" t="inlineStr">
        <is>
          <t>Job ID</t>
        </is>
      </c>
      <c r="C7" s="15" t="inlineStr">
        <is>
          <t>Customer</t>
        </is>
      </c>
      <c r="D7" s="15" t="inlineStr">
        <is>
          <t>Product/Description</t>
        </is>
      </c>
      <c r="E7" s="15" t="inlineStr">
        <is>
          <t>Drawing Ref</t>
        </is>
      </c>
      <c r="F7" s="15" t="inlineStr">
        <is>
          <t>Job Priority</t>
        </is>
      </c>
      <c r="G7" s="15" t="inlineStr">
        <is>
          <t>Order Due Date</t>
        </is>
      </c>
      <c r="H7" s="15" t="inlineStr">
        <is>
          <t>Days Until Due</t>
        </is>
      </c>
      <c r="I7" s="15" t="inlineStr">
        <is>
          <t>Saw Status</t>
        </is>
      </c>
      <c r="J7" s="15" t="inlineStr">
        <is>
          <t>Saw Est Hrs</t>
        </is>
      </c>
      <c r="K7" s="15" t="inlineStr">
        <is>
          <t>Saw Operator</t>
        </is>
      </c>
      <c r="L7" s="15" t="inlineStr">
        <is>
          <t>Saw Notes</t>
        </is>
      </c>
    </row>
    <row r="8">
      <c r="A8">
        <f>IFERROR(_xlfn._xlws.SEQUENCE(ROWS(_xlfn._xlws.FILTER('Master Schedule'!$A$6:$A$500,('Master Schedule'!$Q$6:$Q$500&lt;&gt;"Not Started")*('Master Schedule'!$A$6:$A$500&lt;&gt;"")))),"")</f>
        <v/>
      </c>
      <c r="B8">
        <f>IFERROR(_xlfn._xlws.SORTBY(_xlfn._xlws.FILTER('Master Schedule'!$A$6:$A$500,('Master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C8">
        <f>IFERROR(_xlfn._xlws.SORTBY(_xlfn._xlws.FILTER('Master Schedule'!$B$6:$B$500,('Master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D8">
        <f>IFERROR(_xlfn._xlws.SORTBY(_xlfn._xlws.FILTER('Master Schedule'!$C$6:$C$500,('Master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E8">
        <f>IFERROR(_xlfn._xlws.SORTBY(_xlfn._xlws.FILTER('Master Schedule'!$E$6:$E$500,('Master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F8">
        <f>IFERROR(_xlfn._xlws.SORTBY(_xlfn._xlws.FILTER('Master Schedule'!$F$6:$F$500,('Master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G8">
        <f>IFERROR(_xlfn._xlws.SORTBY(_xlfn._xlws.FILTER('Master Schedule'!$H$6:$H$500,('Master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H8">
        <f>IFERROR(_xlfn._xlws.SORTBY(_xlfn._xlws.FILTER('Master Schedule'!$J$6:$J$500,('Master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I8">
        <f>IFERROR(_xlfn._xlws.SORTBY(_xlfn._xlws.FILTER('Master Schedule'!$Q$6:$Q$500,('Master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J8">
        <f>IFERROR(_xlfn._xlws.SORTBY(_xlfn._xlws.FILTER('Master Schedule'!$R$6:$R$500,('Master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K8">
        <f>IFERROR(_xlfn._xlws.SORTBY(_xlfn._xlws.FILTER('Master Schedule'!$S$6:$S$500,('Master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  <c r="L8">
        <f>IFERROR(_xlfn._xlws.SORTBY(_xlfn._xlws.FILTER('Master Schedule'!$T$6:$T$500,('Master Schedule'!$Q$6:$Q$500&lt;&gt;"Not Started")*('Master Schedule'!$A$6:$A$500&lt;&gt;"")),_xlfn._xlws.FILTER('Master Schedule'!$K$6:$K$500,('Master Schedule'!$Q$6:$Q$500&lt;&gt;"Not Started")*('Master Schedule'!$A$6:$A$500&lt;&gt;"")),1,_xlfn._xlws.FILTER('Master Schedule'!$H$6:$H$500,('Master Schedule'!$Q$6:$Q$500&lt;&gt;"Not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47" t="inlineStr">
        <is>
          <t>QUEUE — MACHINING 1</t>
        </is>
      </c>
    </row>
    <row r="2" ht="16" customHeight="1">
      <c r="A2" s="48" t="inlineStr">
        <is>
          <t>Jobs in Queue</t>
        </is>
      </c>
      <c r="D2" s="48" t="inlineStr">
        <is>
          <t>Remaining Hrs</t>
        </is>
      </c>
      <c r="G2" s="48" t="inlineStr">
        <is>
          <t>Overdue</t>
        </is>
      </c>
      <c r="J2" s="48" t="inlineStr">
        <is>
          <t>Urgent</t>
        </is>
      </c>
    </row>
    <row r="3" ht="36" customHeight="1">
      <c r="A3" s="49">
        <f>SUMPRODUCT(('Master Schedule'!$U$6:$U$500&lt;&gt;"Not Started")*('Master Schedule'!$U$6:$U$500&lt;&gt;"Complete")*('Master Schedule'!$A$6:$A$500&lt;&gt;""))</f>
        <v/>
      </c>
      <c r="D3" s="49">
        <f>SUMPRODUCT(('Master Schedule'!$U$6:$U$500&lt;&gt;"Complete")*('Master Schedule'!$A$6:$A$500&lt;&gt;"")*'Master Schedule'!$V$6:$V$500)</f>
        <v/>
      </c>
      <c r="G3" s="49">
        <f>SUMPRODUCT(('Master Schedule'!$U$6:$U$500&lt;&gt;"Not Started")*('Master Schedule'!$U$6:$U$500&lt;&gt;"Complete")*('Master Schedule'!$J$6:$J$500&lt;0)*('Master Schedule'!$A$6:$A$500&lt;&gt;""))</f>
        <v/>
      </c>
      <c r="J3" s="49">
        <f>SUMPRODUCT(('Master Schedule'!$U$6:$U$500&lt;&gt;"Complete")*('Master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6" t="inlineStr">
        <is>
          <t>#</t>
        </is>
      </c>
      <c r="B7" s="16" t="inlineStr">
        <is>
          <t>Job ID</t>
        </is>
      </c>
      <c r="C7" s="16" t="inlineStr">
        <is>
          <t>Customer</t>
        </is>
      </c>
      <c r="D7" s="16" t="inlineStr">
        <is>
          <t>Product/Description</t>
        </is>
      </c>
      <c r="E7" s="16" t="inlineStr">
        <is>
          <t>Drawing Ref</t>
        </is>
      </c>
      <c r="F7" s="16" t="inlineStr">
        <is>
          <t>Job Priority</t>
        </is>
      </c>
      <c r="G7" s="16" t="inlineStr">
        <is>
          <t>Order Due Date</t>
        </is>
      </c>
      <c r="H7" s="16" t="inlineStr">
        <is>
          <t>Days Until Due</t>
        </is>
      </c>
      <c r="I7" s="16" t="inlineStr">
        <is>
          <t>Machining 1 Status</t>
        </is>
      </c>
      <c r="J7" s="16" t="inlineStr">
        <is>
          <t>Machining 1 Est Hrs</t>
        </is>
      </c>
      <c r="K7" s="16" t="inlineStr">
        <is>
          <t>Machining 1 Operator</t>
        </is>
      </c>
      <c r="L7" s="16" t="inlineStr">
        <is>
          <t>Machining 1 Notes</t>
        </is>
      </c>
    </row>
    <row r="8">
      <c r="A8">
        <f>IFERROR(_xlfn._xlws.SEQUENCE(ROWS(_xlfn._xlws.FILTER('Master Schedule'!$A$6:$A$500,('Master Schedule'!$U$6:$U$500&lt;&gt;"Not Started")*('Master Schedule'!$A$6:$A$500&lt;&gt;"")))),"")</f>
        <v/>
      </c>
      <c r="B8">
        <f>IFERROR(_xlfn._xlws.SORTBY(_xlfn._xlws.FILTER('Master Schedule'!$A$6:$A$500,('Master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C8">
        <f>IFERROR(_xlfn._xlws.SORTBY(_xlfn._xlws.FILTER('Master Schedule'!$B$6:$B$500,('Master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D8">
        <f>IFERROR(_xlfn._xlws.SORTBY(_xlfn._xlws.FILTER('Master Schedule'!$C$6:$C$500,('Master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E8">
        <f>IFERROR(_xlfn._xlws.SORTBY(_xlfn._xlws.FILTER('Master Schedule'!$E$6:$E$500,('Master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F8">
        <f>IFERROR(_xlfn._xlws.SORTBY(_xlfn._xlws.FILTER('Master Schedule'!$F$6:$F$500,('Master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G8">
        <f>IFERROR(_xlfn._xlws.SORTBY(_xlfn._xlws.FILTER('Master Schedule'!$H$6:$H$500,('Master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H8">
        <f>IFERROR(_xlfn._xlws.SORTBY(_xlfn._xlws.FILTER('Master Schedule'!$J$6:$J$500,('Master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I8">
        <f>IFERROR(_xlfn._xlws.SORTBY(_xlfn._xlws.FILTER('Master Schedule'!$U$6:$U$500,('Master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J8">
        <f>IFERROR(_xlfn._xlws.SORTBY(_xlfn._xlws.FILTER('Master Schedule'!$V$6:$V$500,('Master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K8">
        <f>IFERROR(_xlfn._xlws.SORTBY(_xlfn._xlws.FILTER('Master Schedule'!$W$6:$W$500,('Master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  <c r="L8">
        <f>IFERROR(_xlfn._xlws.SORTBY(_xlfn._xlws.FILTER('Master Schedule'!$X$6:$X$500,('Master Schedule'!$U$6:$U$500&lt;&gt;"Not Started")*('Master Schedule'!$A$6:$A$500&lt;&gt;"")),_xlfn._xlws.FILTER('Master Schedule'!$K$6:$K$500,('Master Schedule'!$U$6:$U$500&lt;&gt;"Not Started")*('Master Schedule'!$A$6:$A$500&lt;&gt;"")),1,_xlfn._xlws.FILTER('Master Schedule'!$H$6:$H$500,('Master Schedule'!$U$6:$U$500&lt;&gt;"Not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47" t="inlineStr">
        <is>
          <t>QUEUE — MACHINING 2</t>
        </is>
      </c>
    </row>
    <row r="2" ht="16" customHeight="1">
      <c r="A2" s="48" t="inlineStr">
        <is>
          <t>Jobs in Queue</t>
        </is>
      </c>
      <c r="D2" s="48" t="inlineStr">
        <is>
          <t>Remaining Hrs</t>
        </is>
      </c>
      <c r="G2" s="48" t="inlineStr">
        <is>
          <t>Overdue</t>
        </is>
      </c>
      <c r="J2" s="48" t="inlineStr">
        <is>
          <t>Urgent</t>
        </is>
      </c>
    </row>
    <row r="3" ht="36" customHeight="1">
      <c r="A3" s="49">
        <f>SUMPRODUCT(('Master Schedule'!$Y$6:$Y$500&lt;&gt;"Not Started")*('Master Schedule'!$Y$6:$Y$500&lt;&gt;"Complete")*('Master Schedule'!$A$6:$A$500&lt;&gt;""))</f>
        <v/>
      </c>
      <c r="D3" s="49">
        <f>SUMPRODUCT(('Master Schedule'!$Y$6:$Y$500&lt;&gt;"Complete")*('Master Schedule'!$A$6:$A$500&lt;&gt;"")*'Master Schedule'!$Z$6:$Z$500)</f>
        <v/>
      </c>
      <c r="G3" s="49">
        <f>SUMPRODUCT(('Master Schedule'!$Y$6:$Y$500&lt;&gt;"Not Started")*('Master Schedule'!$Y$6:$Y$500&lt;&gt;"Complete")*('Master Schedule'!$J$6:$J$500&lt;0)*('Master Schedule'!$A$6:$A$500&lt;&gt;""))</f>
        <v/>
      </c>
      <c r="J3" s="49">
        <f>SUMPRODUCT(('Master Schedule'!$Y$6:$Y$500&lt;&gt;"Complete")*('Master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6" t="inlineStr">
        <is>
          <t>#</t>
        </is>
      </c>
      <c r="B7" s="16" t="inlineStr">
        <is>
          <t>Job ID</t>
        </is>
      </c>
      <c r="C7" s="16" t="inlineStr">
        <is>
          <t>Customer</t>
        </is>
      </c>
      <c r="D7" s="16" t="inlineStr">
        <is>
          <t>Product/Description</t>
        </is>
      </c>
      <c r="E7" s="16" t="inlineStr">
        <is>
          <t>Drawing Ref</t>
        </is>
      </c>
      <c r="F7" s="16" t="inlineStr">
        <is>
          <t>Job Priority</t>
        </is>
      </c>
      <c r="G7" s="16" t="inlineStr">
        <is>
          <t>Order Due Date</t>
        </is>
      </c>
      <c r="H7" s="16" t="inlineStr">
        <is>
          <t>Days Until Due</t>
        </is>
      </c>
      <c r="I7" s="16" t="inlineStr">
        <is>
          <t>Machining 2 Status</t>
        </is>
      </c>
      <c r="J7" s="16" t="inlineStr">
        <is>
          <t>Machining 2 Est Hrs</t>
        </is>
      </c>
      <c r="K7" s="16" t="inlineStr">
        <is>
          <t>Machining 2 Operator</t>
        </is>
      </c>
      <c r="L7" s="16" t="inlineStr">
        <is>
          <t>Machining 2 Notes</t>
        </is>
      </c>
    </row>
    <row r="8">
      <c r="A8">
        <f>IFERROR(_xlfn._xlws.SEQUENCE(ROWS(_xlfn._xlws.FILTER('Master Schedule'!$A$6:$A$500,('Master Schedule'!$Y$6:$Y$500&lt;&gt;"Not Started")*('Master Schedule'!$A$6:$A$500&lt;&gt;"")))),"")</f>
        <v/>
      </c>
      <c r="B8">
        <f>IFERROR(_xlfn._xlws.SORTBY(_xlfn._xlws.FILTER('Master Schedule'!$A$6:$A$500,('Master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C8">
        <f>IFERROR(_xlfn._xlws.SORTBY(_xlfn._xlws.FILTER('Master Schedule'!$B$6:$B$500,('Master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D8">
        <f>IFERROR(_xlfn._xlws.SORTBY(_xlfn._xlws.FILTER('Master Schedule'!$C$6:$C$500,('Master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E8">
        <f>IFERROR(_xlfn._xlws.SORTBY(_xlfn._xlws.FILTER('Master Schedule'!$E$6:$E$500,('Master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F8">
        <f>IFERROR(_xlfn._xlws.SORTBY(_xlfn._xlws.FILTER('Master Schedule'!$F$6:$F$500,('Master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G8">
        <f>IFERROR(_xlfn._xlws.SORTBY(_xlfn._xlws.FILTER('Master Schedule'!$H$6:$H$500,('Master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H8">
        <f>IFERROR(_xlfn._xlws.SORTBY(_xlfn._xlws.FILTER('Master Schedule'!$J$6:$J$500,('Master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I8">
        <f>IFERROR(_xlfn._xlws.SORTBY(_xlfn._xlws.FILTER('Master Schedule'!$Y$6:$Y$500,('Master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J8">
        <f>IFERROR(_xlfn._xlws.SORTBY(_xlfn._xlws.FILTER('Master Schedule'!$Z$6:$Z$500,('Master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K8">
        <f>IFERROR(_xlfn._xlws.SORTBY(_xlfn._xlws.FILTER('Master Schedule'!$AA$6:$AA$500,('Master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  <c r="L8">
        <f>IFERROR(_xlfn._xlws.SORTBY(_xlfn._xlws.FILTER('Master Schedule'!$AB$6:$AB$500,('Master Schedule'!$Y$6:$Y$500&lt;&gt;"Not Started")*('Master Schedule'!$A$6:$A$500&lt;&gt;"")),_xlfn._xlws.FILTER('Master Schedule'!$K$6:$K$500,('Master Schedule'!$Y$6:$Y$500&lt;&gt;"Not Started")*('Master Schedule'!$A$6:$A$500&lt;&gt;"")),1,_xlfn._xlws.FILTER('Master Schedule'!$H$6:$H$500,('Master Schedule'!$Y$6:$Y$500&lt;&gt;"Not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50" t="inlineStr">
        <is>
          <t>QUEUE — FABRICATION 1</t>
        </is>
      </c>
    </row>
    <row r="2" ht="16" customHeight="1">
      <c r="A2" s="51" t="inlineStr">
        <is>
          <t>Jobs in Queue</t>
        </is>
      </c>
      <c r="D2" s="51" t="inlineStr">
        <is>
          <t>Remaining Hrs</t>
        </is>
      </c>
      <c r="G2" s="51" t="inlineStr">
        <is>
          <t>Overdue</t>
        </is>
      </c>
      <c r="J2" s="51" t="inlineStr">
        <is>
          <t>Urgent</t>
        </is>
      </c>
    </row>
    <row r="3" ht="36" customHeight="1">
      <c r="A3" s="28">
        <f>SUMPRODUCT(('Master Schedule'!$AC$6:$AC$500&lt;&gt;"Not Started")*('Master Schedule'!$AC$6:$AC$500&lt;&gt;"Complete")*('Master Schedule'!$A$6:$A$500&lt;&gt;""))</f>
        <v/>
      </c>
      <c r="D3" s="28">
        <f>SUMPRODUCT(('Master Schedule'!$AC$6:$AC$500&lt;&gt;"Complete")*('Master Schedule'!$A$6:$A$500&lt;&gt;"")*'Master Schedule'!$AD$6:$AD$500)</f>
        <v/>
      </c>
      <c r="G3" s="28">
        <f>SUMPRODUCT(('Master Schedule'!$AC$6:$AC$500&lt;&gt;"Not Started")*('Master Schedule'!$AC$6:$AC$500&lt;&gt;"Complete")*('Master Schedule'!$J$6:$J$500&lt;0)*('Master Schedule'!$A$6:$A$500&lt;&gt;""))</f>
        <v/>
      </c>
      <c r="J3" s="28">
        <f>SUMPRODUCT(('Master Schedule'!$AC$6:$AC$500&lt;&gt;"Complete")*('Master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7" t="inlineStr">
        <is>
          <t>#</t>
        </is>
      </c>
      <c r="B7" s="17" t="inlineStr">
        <is>
          <t>Job ID</t>
        </is>
      </c>
      <c r="C7" s="17" t="inlineStr">
        <is>
          <t>Customer</t>
        </is>
      </c>
      <c r="D7" s="17" t="inlineStr">
        <is>
          <t>Product/Description</t>
        </is>
      </c>
      <c r="E7" s="17" t="inlineStr">
        <is>
          <t>Drawing Ref</t>
        </is>
      </c>
      <c r="F7" s="17" t="inlineStr">
        <is>
          <t>Job Priority</t>
        </is>
      </c>
      <c r="G7" s="17" t="inlineStr">
        <is>
          <t>Order Due Date</t>
        </is>
      </c>
      <c r="H7" s="17" t="inlineStr">
        <is>
          <t>Days Until Due</t>
        </is>
      </c>
      <c r="I7" s="17" t="inlineStr">
        <is>
          <t>Fabrication 1 Status</t>
        </is>
      </c>
      <c r="J7" s="17" t="inlineStr">
        <is>
          <t>Fabrication 1 Est Hrs</t>
        </is>
      </c>
      <c r="K7" s="17" t="inlineStr">
        <is>
          <t>Fabrication 1 Operator</t>
        </is>
      </c>
      <c r="L7" s="17" t="inlineStr">
        <is>
          <t>Fabrication 1 Notes</t>
        </is>
      </c>
    </row>
    <row r="8">
      <c r="A8">
        <f>IFERROR(_xlfn._xlws.SEQUENCE(ROWS(_xlfn._xlws.FILTER('Master Schedule'!$A$6:$A$500,('Master Schedule'!$AC$6:$AC$500&lt;&gt;"Not Started")*('Master Schedule'!$A$6:$A$500&lt;&gt;"")))),"")</f>
        <v/>
      </c>
      <c r="B8">
        <f>IFERROR(_xlfn._xlws.SORTBY(_xlfn._xlws.FILTER('Master Schedule'!$A$6:$A$500,('Master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C8">
        <f>IFERROR(_xlfn._xlws.SORTBY(_xlfn._xlws.FILTER('Master Schedule'!$B$6:$B$500,('Master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D8">
        <f>IFERROR(_xlfn._xlws.SORTBY(_xlfn._xlws.FILTER('Master Schedule'!$C$6:$C$500,('Master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E8">
        <f>IFERROR(_xlfn._xlws.SORTBY(_xlfn._xlws.FILTER('Master Schedule'!$E$6:$E$500,('Master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F8">
        <f>IFERROR(_xlfn._xlws.SORTBY(_xlfn._xlws.FILTER('Master Schedule'!$F$6:$F$500,('Master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G8">
        <f>IFERROR(_xlfn._xlws.SORTBY(_xlfn._xlws.FILTER('Master Schedule'!$H$6:$H$500,('Master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H8">
        <f>IFERROR(_xlfn._xlws.SORTBY(_xlfn._xlws.FILTER('Master Schedule'!$J$6:$J$500,('Master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I8">
        <f>IFERROR(_xlfn._xlws.SORTBY(_xlfn._xlws.FILTER('Master Schedule'!$AC$6:$AC$500,('Master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J8">
        <f>IFERROR(_xlfn._xlws.SORTBY(_xlfn._xlws.FILTER('Master Schedule'!$AD$6:$AD$500,('Master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K8">
        <f>IFERROR(_xlfn._xlws.SORTBY(_xlfn._xlws.FILTER('Master Schedule'!$AE$6:$AE$500,('Master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  <c r="L8">
        <f>IFERROR(_xlfn._xlws.SORTBY(_xlfn._xlws.FILTER('Master Schedule'!$AF$6:$AF$500,('Master Schedule'!$AC$6:$AC$500&lt;&gt;"Not Started")*('Master Schedule'!$A$6:$A$500&lt;&gt;"")),_xlfn._xlws.FILTER('Master Schedule'!$K$6:$K$500,('Master Schedule'!$AC$6:$AC$500&lt;&gt;"Not Started")*('Master Schedule'!$A$6:$A$500&lt;&gt;"")),1,_xlfn._xlws.FILTER('Master Schedule'!$H$6:$H$500,('Master Schedule'!$AC$6:$AC$500&lt;&gt;"Not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50" t="inlineStr">
        <is>
          <t>QUEUE — FABRICATION 2</t>
        </is>
      </c>
    </row>
    <row r="2" ht="16" customHeight="1">
      <c r="A2" s="51" t="inlineStr">
        <is>
          <t>Jobs in Queue</t>
        </is>
      </c>
      <c r="D2" s="51" t="inlineStr">
        <is>
          <t>Remaining Hrs</t>
        </is>
      </c>
      <c r="G2" s="51" t="inlineStr">
        <is>
          <t>Overdue</t>
        </is>
      </c>
      <c r="J2" s="51" t="inlineStr">
        <is>
          <t>Urgent</t>
        </is>
      </c>
    </row>
    <row r="3" ht="36" customHeight="1">
      <c r="A3" s="28">
        <f>SUMPRODUCT(('Master Schedule'!$AG$6:$AG$500&lt;&gt;"Not Started")*('Master Schedule'!$AG$6:$AG$500&lt;&gt;"Complete")*('Master Schedule'!$A$6:$A$500&lt;&gt;""))</f>
        <v/>
      </c>
      <c r="D3" s="28">
        <f>SUMPRODUCT(('Master Schedule'!$AG$6:$AG$500&lt;&gt;"Complete")*('Master Schedule'!$A$6:$A$500&lt;&gt;"")*'Master Schedule'!$AH$6:$AH$500)</f>
        <v/>
      </c>
      <c r="G3" s="28">
        <f>SUMPRODUCT(('Master Schedule'!$AG$6:$AG$500&lt;&gt;"Not Started")*('Master Schedule'!$AG$6:$AG$500&lt;&gt;"Complete")*('Master Schedule'!$J$6:$J$500&lt;0)*('Master Schedule'!$A$6:$A$500&lt;&gt;""))</f>
        <v/>
      </c>
      <c r="J3" s="28">
        <f>SUMPRODUCT(('Master Schedule'!$AG$6:$AG$500&lt;&gt;"Complete")*('Master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7" t="inlineStr">
        <is>
          <t>#</t>
        </is>
      </c>
      <c r="B7" s="17" t="inlineStr">
        <is>
          <t>Job ID</t>
        </is>
      </c>
      <c r="C7" s="17" t="inlineStr">
        <is>
          <t>Customer</t>
        </is>
      </c>
      <c r="D7" s="17" t="inlineStr">
        <is>
          <t>Product/Description</t>
        </is>
      </c>
      <c r="E7" s="17" t="inlineStr">
        <is>
          <t>Drawing Ref</t>
        </is>
      </c>
      <c r="F7" s="17" t="inlineStr">
        <is>
          <t>Job Priority</t>
        </is>
      </c>
      <c r="G7" s="17" t="inlineStr">
        <is>
          <t>Order Due Date</t>
        </is>
      </c>
      <c r="H7" s="17" t="inlineStr">
        <is>
          <t>Days Until Due</t>
        </is>
      </c>
      <c r="I7" s="17" t="inlineStr">
        <is>
          <t>Fabrication 2 Status</t>
        </is>
      </c>
      <c r="J7" s="17" t="inlineStr">
        <is>
          <t>Fabrication 2 Est Hrs</t>
        </is>
      </c>
      <c r="K7" s="17" t="inlineStr">
        <is>
          <t>Fabrication 2 Operator</t>
        </is>
      </c>
      <c r="L7" s="17" t="inlineStr">
        <is>
          <t>Fabrication 2 Notes</t>
        </is>
      </c>
    </row>
    <row r="8">
      <c r="A8">
        <f>IFERROR(_xlfn._xlws.SEQUENCE(ROWS(_xlfn._xlws.FILTER('Master Schedule'!$A$6:$A$500,('Master Schedule'!$AG$6:$AG$500&lt;&gt;"Not Started")*('Master Schedule'!$A$6:$A$500&lt;&gt;"")))),"")</f>
        <v/>
      </c>
      <c r="B8">
        <f>IFERROR(_xlfn._xlws.SORTBY(_xlfn._xlws.FILTER('Master Schedule'!$A$6:$A$500,('Master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C8">
        <f>IFERROR(_xlfn._xlws.SORTBY(_xlfn._xlws.FILTER('Master Schedule'!$B$6:$B$500,('Master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D8">
        <f>IFERROR(_xlfn._xlws.SORTBY(_xlfn._xlws.FILTER('Master Schedule'!$C$6:$C$500,('Master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E8">
        <f>IFERROR(_xlfn._xlws.SORTBY(_xlfn._xlws.FILTER('Master Schedule'!$E$6:$E$500,('Master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F8">
        <f>IFERROR(_xlfn._xlws.SORTBY(_xlfn._xlws.FILTER('Master Schedule'!$F$6:$F$500,('Master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G8">
        <f>IFERROR(_xlfn._xlws.SORTBY(_xlfn._xlws.FILTER('Master Schedule'!$H$6:$H$500,('Master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H8">
        <f>IFERROR(_xlfn._xlws.SORTBY(_xlfn._xlws.FILTER('Master Schedule'!$J$6:$J$500,('Master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I8">
        <f>IFERROR(_xlfn._xlws.SORTBY(_xlfn._xlws.FILTER('Master Schedule'!$AG$6:$AG$500,('Master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J8">
        <f>IFERROR(_xlfn._xlws.SORTBY(_xlfn._xlws.FILTER('Master Schedule'!$AH$6:$AH$500,('Master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K8">
        <f>IFERROR(_xlfn._xlws.SORTBY(_xlfn._xlws.FILTER('Master Schedule'!$AI$6:$AI$500,('Master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  <c r="L8">
        <f>IFERROR(_xlfn._xlws.SORTBY(_xlfn._xlws.FILTER('Master Schedule'!$AJ$6:$AJ$500,('Master Schedule'!$AG$6:$AG$500&lt;&gt;"Not Started")*('Master Schedule'!$A$6:$A$500&lt;&gt;"")),_xlfn._xlws.FILTER('Master Schedule'!$K$6:$K$500,('Master Schedule'!$AG$6:$AG$500&lt;&gt;"Not Started")*('Master Schedule'!$A$6:$A$500&lt;&gt;"")),1,_xlfn._xlws.FILTER('Master Schedule'!$H$6:$H$500,('Master Schedule'!$AG$6:$AG$500&lt;&gt;"Not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2" t="inlineStr">
        <is>
          <t>QUEUE — WELD 1</t>
        </is>
      </c>
    </row>
    <row r="2" ht="16" customHeight="1">
      <c r="A2" s="52" t="inlineStr">
        <is>
          <t>Jobs in Queue</t>
        </is>
      </c>
      <c r="D2" s="52" t="inlineStr">
        <is>
          <t>Remaining Hrs</t>
        </is>
      </c>
      <c r="G2" s="52" t="inlineStr">
        <is>
          <t>Overdue</t>
        </is>
      </c>
      <c r="J2" s="52" t="inlineStr">
        <is>
          <t>Urgent</t>
        </is>
      </c>
    </row>
    <row r="3" ht="36" customHeight="1">
      <c r="A3" s="29">
        <f>SUMPRODUCT(('Master Schedule'!$AK$6:$AK$500&lt;&gt;"Not Started")*('Master Schedule'!$AK$6:$AK$500&lt;&gt;"Complete")*('Master Schedule'!$A$6:$A$500&lt;&gt;""))</f>
        <v/>
      </c>
      <c r="D3" s="29">
        <f>SUMPRODUCT(('Master Schedule'!$AK$6:$AK$500&lt;&gt;"Complete")*('Master Schedule'!$A$6:$A$500&lt;&gt;"")*'Master Schedule'!$AL$6:$AL$500)</f>
        <v/>
      </c>
      <c r="G3" s="29">
        <f>SUMPRODUCT(('Master Schedule'!$AK$6:$AK$500&lt;&gt;"Not Started")*('Master Schedule'!$AK$6:$AK$500&lt;&gt;"Complete")*('Master Schedule'!$J$6:$J$500&lt;0)*('Master Schedule'!$A$6:$A$500&lt;&gt;""))</f>
        <v/>
      </c>
      <c r="J3" s="29">
        <f>SUMPRODUCT(('Master Schedule'!$AK$6:$AK$500&lt;&gt;"Complete")*('Master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3" t="inlineStr">
        <is>
          <t>#</t>
        </is>
      </c>
      <c r="B7" s="13" t="inlineStr">
        <is>
          <t>Job ID</t>
        </is>
      </c>
      <c r="C7" s="13" t="inlineStr">
        <is>
          <t>Customer</t>
        </is>
      </c>
      <c r="D7" s="13" t="inlineStr">
        <is>
          <t>Product/Description</t>
        </is>
      </c>
      <c r="E7" s="13" t="inlineStr">
        <is>
          <t>Drawing Ref</t>
        </is>
      </c>
      <c r="F7" s="13" t="inlineStr">
        <is>
          <t>Job Priority</t>
        </is>
      </c>
      <c r="G7" s="13" t="inlineStr">
        <is>
          <t>Order Due Date</t>
        </is>
      </c>
      <c r="H7" s="13" t="inlineStr">
        <is>
          <t>Days Until Due</t>
        </is>
      </c>
      <c r="I7" s="13" t="inlineStr">
        <is>
          <t>Weld 1 Status</t>
        </is>
      </c>
      <c r="J7" s="13" t="inlineStr">
        <is>
          <t>Weld 1 Est Hrs</t>
        </is>
      </c>
      <c r="K7" s="13" t="inlineStr">
        <is>
          <t>Weld 1 Operator</t>
        </is>
      </c>
      <c r="L7" s="13" t="inlineStr">
        <is>
          <t>Weld 1 Notes</t>
        </is>
      </c>
    </row>
    <row r="8">
      <c r="A8">
        <f>IFERROR(_xlfn._xlws.SEQUENCE(ROWS(_xlfn._xlws.FILTER('Master Schedule'!$A$6:$A$500,('Master Schedule'!$AK$6:$AK$500&lt;&gt;"Not Started")*('Master Schedule'!$A$6:$A$500&lt;&gt;"")))),"")</f>
        <v/>
      </c>
      <c r="B8">
        <f>IFERROR(_xlfn._xlws.SORTBY(_xlfn._xlws.FILTER('Master Schedule'!$A$6:$A$500,('Master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C8">
        <f>IFERROR(_xlfn._xlws.SORTBY(_xlfn._xlws.FILTER('Master Schedule'!$B$6:$B$500,('Master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D8">
        <f>IFERROR(_xlfn._xlws.SORTBY(_xlfn._xlws.FILTER('Master Schedule'!$C$6:$C$500,('Master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E8">
        <f>IFERROR(_xlfn._xlws.SORTBY(_xlfn._xlws.FILTER('Master Schedule'!$E$6:$E$500,('Master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F8">
        <f>IFERROR(_xlfn._xlws.SORTBY(_xlfn._xlws.FILTER('Master Schedule'!$F$6:$F$500,('Master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G8">
        <f>IFERROR(_xlfn._xlws.SORTBY(_xlfn._xlws.FILTER('Master Schedule'!$H$6:$H$500,('Master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H8">
        <f>IFERROR(_xlfn._xlws.SORTBY(_xlfn._xlws.FILTER('Master Schedule'!$J$6:$J$500,('Master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I8">
        <f>IFERROR(_xlfn._xlws.SORTBY(_xlfn._xlws.FILTER('Master Schedule'!$AK$6:$AK$500,('Master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J8">
        <f>IFERROR(_xlfn._xlws.SORTBY(_xlfn._xlws.FILTER('Master Schedule'!$AL$6:$AL$500,('Master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K8">
        <f>IFERROR(_xlfn._xlws.SORTBY(_xlfn._xlws.FILTER('Master Schedule'!$AM$6:$AM$500,('Master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  <c r="L8">
        <f>IFERROR(_xlfn._xlws.SORTBY(_xlfn._xlws.FILTER('Master Schedule'!$AN$6:$AN$500,('Master Schedule'!$AK$6:$AK$500&lt;&gt;"Not Started")*('Master Schedule'!$A$6:$A$500&lt;&gt;"")),_xlfn._xlws.FILTER('Master Schedule'!$K$6:$K$500,('Master Schedule'!$AK$6:$AK$500&lt;&gt;"Not Started")*('Master Schedule'!$A$6:$A$500&lt;&gt;"")),1,_xlfn._xlws.FILTER('Master Schedule'!$H$6:$H$500,('Master Schedule'!$AK$6:$AK$500&lt;&gt;"Not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2" t="inlineStr">
        <is>
          <t>QUEUE — WELD 2</t>
        </is>
      </c>
    </row>
    <row r="2" ht="16" customHeight="1">
      <c r="A2" s="52" t="inlineStr">
        <is>
          <t>Jobs in Queue</t>
        </is>
      </c>
      <c r="D2" s="52" t="inlineStr">
        <is>
          <t>Remaining Hrs</t>
        </is>
      </c>
      <c r="G2" s="52" t="inlineStr">
        <is>
          <t>Overdue</t>
        </is>
      </c>
      <c r="J2" s="52" t="inlineStr">
        <is>
          <t>Urgent</t>
        </is>
      </c>
    </row>
    <row r="3" ht="36" customHeight="1">
      <c r="A3" s="29">
        <f>SUMPRODUCT(('Master Schedule'!$AO$6:$AO$500&lt;&gt;"Not Started")*('Master Schedule'!$AO$6:$AO$500&lt;&gt;"Complete")*('Master Schedule'!$A$6:$A$500&lt;&gt;""))</f>
        <v/>
      </c>
      <c r="D3" s="29">
        <f>SUMPRODUCT(('Master Schedule'!$AO$6:$AO$500&lt;&gt;"Complete")*('Master Schedule'!$A$6:$A$500&lt;&gt;"")*'Master Schedule'!$AP$6:$AP$500)</f>
        <v/>
      </c>
      <c r="G3" s="29">
        <f>SUMPRODUCT(('Master Schedule'!$AO$6:$AO$500&lt;&gt;"Not Started")*('Master Schedule'!$AO$6:$AO$500&lt;&gt;"Complete")*('Master Schedule'!$J$6:$J$500&lt;0)*('Master Schedule'!$A$6:$A$500&lt;&gt;""))</f>
        <v/>
      </c>
      <c r="J3" s="29">
        <f>SUMPRODUCT(('Master Schedule'!$AO$6:$AO$500&lt;&gt;"Complete")*('Master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3" t="inlineStr">
        <is>
          <t>#</t>
        </is>
      </c>
      <c r="B7" s="13" t="inlineStr">
        <is>
          <t>Job ID</t>
        </is>
      </c>
      <c r="C7" s="13" t="inlineStr">
        <is>
          <t>Customer</t>
        </is>
      </c>
      <c r="D7" s="13" t="inlineStr">
        <is>
          <t>Product/Description</t>
        </is>
      </c>
      <c r="E7" s="13" t="inlineStr">
        <is>
          <t>Drawing Ref</t>
        </is>
      </c>
      <c r="F7" s="13" t="inlineStr">
        <is>
          <t>Job Priority</t>
        </is>
      </c>
      <c r="G7" s="13" t="inlineStr">
        <is>
          <t>Order Due Date</t>
        </is>
      </c>
      <c r="H7" s="13" t="inlineStr">
        <is>
          <t>Days Until Due</t>
        </is>
      </c>
      <c r="I7" s="13" t="inlineStr">
        <is>
          <t>Weld 2 Status</t>
        </is>
      </c>
      <c r="J7" s="13" t="inlineStr">
        <is>
          <t>Weld 2 Est Hrs</t>
        </is>
      </c>
      <c r="K7" s="13" t="inlineStr">
        <is>
          <t>Weld 2 Operator</t>
        </is>
      </c>
      <c r="L7" s="13" t="inlineStr">
        <is>
          <t>Weld 2 Notes</t>
        </is>
      </c>
    </row>
    <row r="8">
      <c r="A8">
        <f>IFERROR(_xlfn._xlws.SEQUENCE(ROWS(_xlfn._xlws.FILTER('Master Schedule'!$A$6:$A$500,('Master Schedule'!$AO$6:$AO$500&lt;&gt;"Not Started")*('Master Schedule'!$A$6:$A$500&lt;&gt;"")))),"")</f>
        <v/>
      </c>
      <c r="B8">
        <f>IFERROR(_xlfn._xlws.SORTBY(_xlfn._xlws.FILTER('Master Schedule'!$A$6:$A$500,('Master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C8">
        <f>IFERROR(_xlfn._xlws.SORTBY(_xlfn._xlws.FILTER('Master Schedule'!$B$6:$B$500,('Master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D8">
        <f>IFERROR(_xlfn._xlws.SORTBY(_xlfn._xlws.FILTER('Master Schedule'!$C$6:$C$500,('Master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E8">
        <f>IFERROR(_xlfn._xlws.SORTBY(_xlfn._xlws.FILTER('Master Schedule'!$E$6:$E$500,('Master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F8">
        <f>IFERROR(_xlfn._xlws.SORTBY(_xlfn._xlws.FILTER('Master Schedule'!$F$6:$F$500,('Master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G8">
        <f>IFERROR(_xlfn._xlws.SORTBY(_xlfn._xlws.FILTER('Master Schedule'!$H$6:$H$500,('Master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H8">
        <f>IFERROR(_xlfn._xlws.SORTBY(_xlfn._xlws.FILTER('Master Schedule'!$J$6:$J$500,('Master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I8">
        <f>IFERROR(_xlfn._xlws.SORTBY(_xlfn._xlws.FILTER('Master Schedule'!$AO$6:$AO$500,('Master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J8">
        <f>IFERROR(_xlfn._xlws.SORTBY(_xlfn._xlws.FILTER('Master Schedule'!$AP$6:$AP$500,('Master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K8">
        <f>IFERROR(_xlfn._xlws.SORTBY(_xlfn._xlws.FILTER('Master Schedule'!$AQ$6:$AQ$500,('Master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  <c r="L8">
        <f>IFERROR(_xlfn._xlws.SORTBY(_xlfn._xlws.FILTER('Master Schedule'!$AR$6:$AR$500,('Master Schedule'!$AO$6:$AO$500&lt;&gt;"Not Started")*('Master Schedule'!$A$6:$A$500&lt;&gt;"")),_xlfn._xlws.FILTER('Master Schedule'!$K$6:$K$500,('Master Schedule'!$AO$6:$AO$500&lt;&gt;"Not Started")*('Master Schedule'!$A$6:$A$500&lt;&gt;"")),1,_xlfn._xlws.FILTER('Master Schedule'!$H$6:$H$500,('Master Schedule'!$AO$6:$AO$500&lt;&gt;"Not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2" t="inlineStr">
        <is>
          <t>QUEUE — WELD 3</t>
        </is>
      </c>
    </row>
    <row r="2" ht="16" customHeight="1">
      <c r="A2" s="52" t="inlineStr">
        <is>
          <t>Jobs in Queue</t>
        </is>
      </c>
      <c r="D2" s="52" t="inlineStr">
        <is>
          <t>Remaining Hrs</t>
        </is>
      </c>
      <c r="G2" s="52" t="inlineStr">
        <is>
          <t>Overdue</t>
        </is>
      </c>
      <c r="J2" s="52" t="inlineStr">
        <is>
          <t>Urgent</t>
        </is>
      </c>
    </row>
    <row r="3" ht="36" customHeight="1">
      <c r="A3" s="29">
        <f>SUMPRODUCT(('Master Schedule'!$AS$6:$AS$500&lt;&gt;"Not Started")*('Master Schedule'!$AS$6:$AS$500&lt;&gt;"Complete")*('Master Schedule'!$A$6:$A$500&lt;&gt;""))</f>
        <v/>
      </c>
      <c r="D3" s="29">
        <f>SUMPRODUCT(('Master Schedule'!$AS$6:$AS$500&lt;&gt;"Complete")*('Master Schedule'!$A$6:$A$500&lt;&gt;"")*'Master Schedule'!$AT$6:$AT$500)</f>
        <v/>
      </c>
      <c r="G3" s="29">
        <f>SUMPRODUCT(('Master Schedule'!$AS$6:$AS$500&lt;&gt;"Not Started")*('Master Schedule'!$AS$6:$AS$500&lt;&gt;"Complete")*('Master Schedule'!$J$6:$J$500&lt;0)*('Master Schedule'!$A$6:$A$500&lt;&gt;""))</f>
        <v/>
      </c>
      <c r="J3" s="29">
        <f>SUMPRODUCT(('Master Schedule'!$AS$6:$AS$500&lt;&gt;"Complete")*('Master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3" t="inlineStr">
        <is>
          <t>#</t>
        </is>
      </c>
      <c r="B7" s="13" t="inlineStr">
        <is>
          <t>Job ID</t>
        </is>
      </c>
      <c r="C7" s="13" t="inlineStr">
        <is>
          <t>Customer</t>
        </is>
      </c>
      <c r="D7" s="13" t="inlineStr">
        <is>
          <t>Product/Description</t>
        </is>
      </c>
      <c r="E7" s="13" t="inlineStr">
        <is>
          <t>Drawing Ref</t>
        </is>
      </c>
      <c r="F7" s="13" t="inlineStr">
        <is>
          <t>Job Priority</t>
        </is>
      </c>
      <c r="G7" s="13" t="inlineStr">
        <is>
          <t>Order Due Date</t>
        </is>
      </c>
      <c r="H7" s="13" t="inlineStr">
        <is>
          <t>Days Until Due</t>
        </is>
      </c>
      <c r="I7" s="13" t="inlineStr">
        <is>
          <t>Weld 3 Status</t>
        </is>
      </c>
      <c r="J7" s="13" t="inlineStr">
        <is>
          <t>Weld 3 Est Hrs</t>
        </is>
      </c>
      <c r="K7" s="13" t="inlineStr">
        <is>
          <t>Weld 3 Operator</t>
        </is>
      </c>
      <c r="L7" s="13" t="inlineStr">
        <is>
          <t>Weld 3 Notes</t>
        </is>
      </c>
    </row>
    <row r="8">
      <c r="A8">
        <f>IFERROR(_xlfn._xlws.SEQUENCE(ROWS(_xlfn._xlws.FILTER('Master Schedule'!$A$6:$A$500,('Master Schedule'!$AS$6:$AS$500&lt;&gt;"Not Started")*('Master Schedule'!$A$6:$A$500&lt;&gt;"")))),"")</f>
        <v/>
      </c>
      <c r="B8">
        <f>IFERROR(_xlfn._xlws.SORTBY(_xlfn._xlws.FILTER('Master Schedule'!$A$6:$A$500,('Master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C8">
        <f>IFERROR(_xlfn._xlws.SORTBY(_xlfn._xlws.FILTER('Master Schedule'!$B$6:$B$500,('Master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D8">
        <f>IFERROR(_xlfn._xlws.SORTBY(_xlfn._xlws.FILTER('Master Schedule'!$C$6:$C$500,('Master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E8">
        <f>IFERROR(_xlfn._xlws.SORTBY(_xlfn._xlws.FILTER('Master Schedule'!$E$6:$E$500,('Master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F8">
        <f>IFERROR(_xlfn._xlws.SORTBY(_xlfn._xlws.FILTER('Master Schedule'!$F$6:$F$500,('Master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G8">
        <f>IFERROR(_xlfn._xlws.SORTBY(_xlfn._xlws.FILTER('Master Schedule'!$H$6:$H$500,('Master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H8">
        <f>IFERROR(_xlfn._xlws.SORTBY(_xlfn._xlws.FILTER('Master Schedule'!$J$6:$J$500,('Master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I8">
        <f>IFERROR(_xlfn._xlws.SORTBY(_xlfn._xlws.FILTER('Master Schedule'!$AS$6:$AS$500,('Master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J8">
        <f>IFERROR(_xlfn._xlws.SORTBY(_xlfn._xlws.FILTER('Master Schedule'!$AT$6:$AT$500,('Master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K8">
        <f>IFERROR(_xlfn._xlws.SORTBY(_xlfn._xlws.FILTER('Master Schedule'!$AU$6:$AU$500,('Master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  <c r="L8">
        <f>IFERROR(_xlfn._xlws.SORTBY(_xlfn._xlws.FILTER('Master Schedule'!$AV$6:$AV$500,('Master Schedule'!$AS$6:$AS$500&lt;&gt;"Not Started")*('Master Schedule'!$A$6:$A$500&lt;&gt;"")),_xlfn._xlws.FILTER('Master Schedule'!$K$6:$K$500,('Master Schedule'!$AS$6:$AS$500&lt;&gt;"Not Started")*('Master Schedule'!$A$6:$A$500&lt;&gt;"")),1,_xlfn._xlws.FILTER('Master Schedule'!$H$6:$H$500,('Master Schedule'!$AS$6:$AS$500&lt;&gt;"Not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53" t="inlineStr">
        <is>
          <t>QUEUE — BLAST</t>
        </is>
      </c>
    </row>
    <row r="2" ht="16" customHeight="1">
      <c r="A2" s="54" t="inlineStr">
        <is>
          <t>Jobs in Queue</t>
        </is>
      </c>
      <c r="D2" s="54" t="inlineStr">
        <is>
          <t>Remaining Hrs</t>
        </is>
      </c>
      <c r="G2" s="54" t="inlineStr">
        <is>
          <t>Overdue</t>
        </is>
      </c>
      <c r="J2" s="54" t="inlineStr">
        <is>
          <t>Urgent</t>
        </is>
      </c>
    </row>
    <row r="3" ht="36" customHeight="1">
      <c r="A3" s="55">
        <f>SUMPRODUCT(('Master Schedule'!$AW$6:$AW$500&lt;&gt;"Not Started")*('Master Schedule'!$AW$6:$AW$500&lt;&gt;"Complete")*('Master Schedule'!$A$6:$A$500&lt;&gt;""))</f>
        <v/>
      </c>
      <c r="D3" s="55">
        <f>SUMPRODUCT(('Master Schedule'!$AW$6:$AW$500&lt;&gt;"Complete")*('Master Schedule'!$A$6:$A$500&lt;&gt;"")*'Master Schedule'!$AX$6:$AX$500)</f>
        <v/>
      </c>
      <c r="G3" s="55">
        <f>SUMPRODUCT(('Master Schedule'!$AW$6:$AW$500&lt;&gt;"Not Started")*('Master Schedule'!$AW$6:$AW$500&lt;&gt;"Complete")*('Master Schedule'!$J$6:$J$500&lt;0)*('Master Schedule'!$A$6:$A$500&lt;&gt;""))</f>
        <v/>
      </c>
      <c r="J3" s="55">
        <f>SUMPRODUCT(('Master Schedule'!$AW$6:$AW$500&lt;&gt;"Complete")*('Master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8" t="inlineStr">
        <is>
          <t>#</t>
        </is>
      </c>
      <c r="B7" s="18" t="inlineStr">
        <is>
          <t>Job ID</t>
        </is>
      </c>
      <c r="C7" s="18" t="inlineStr">
        <is>
          <t>Customer</t>
        </is>
      </c>
      <c r="D7" s="18" t="inlineStr">
        <is>
          <t>Product/Description</t>
        </is>
      </c>
      <c r="E7" s="18" t="inlineStr">
        <is>
          <t>Drawing Ref</t>
        </is>
      </c>
      <c r="F7" s="18" t="inlineStr">
        <is>
          <t>Job Priority</t>
        </is>
      </c>
      <c r="G7" s="18" t="inlineStr">
        <is>
          <t>Order Due Date</t>
        </is>
      </c>
      <c r="H7" s="18" t="inlineStr">
        <is>
          <t>Days Until Due</t>
        </is>
      </c>
      <c r="I7" s="18" t="inlineStr">
        <is>
          <t>Blast Status</t>
        </is>
      </c>
      <c r="J7" s="18" t="inlineStr">
        <is>
          <t>Blast Est Hrs</t>
        </is>
      </c>
      <c r="K7" s="18" t="inlineStr">
        <is>
          <t>Blast Operator</t>
        </is>
      </c>
      <c r="L7" s="18" t="inlineStr">
        <is>
          <t>Blast Notes</t>
        </is>
      </c>
    </row>
    <row r="8">
      <c r="A8">
        <f>IFERROR(_xlfn._xlws.SEQUENCE(ROWS(_xlfn._xlws.FILTER('Master Schedule'!$A$6:$A$500,('Master Schedule'!$AW$6:$AW$500&lt;&gt;"Not Started")*('Master Schedule'!$A$6:$A$500&lt;&gt;"")))),"")</f>
        <v/>
      </c>
      <c r="B8">
        <f>IFERROR(_xlfn._xlws.SORTBY(_xlfn._xlws.FILTER('Master Schedule'!$A$6:$A$500,('Master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C8">
        <f>IFERROR(_xlfn._xlws.SORTBY(_xlfn._xlws.FILTER('Master Schedule'!$B$6:$B$500,('Master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D8">
        <f>IFERROR(_xlfn._xlws.SORTBY(_xlfn._xlws.FILTER('Master Schedule'!$C$6:$C$500,('Master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E8">
        <f>IFERROR(_xlfn._xlws.SORTBY(_xlfn._xlws.FILTER('Master Schedule'!$E$6:$E$500,('Master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F8">
        <f>IFERROR(_xlfn._xlws.SORTBY(_xlfn._xlws.FILTER('Master Schedule'!$F$6:$F$500,('Master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G8">
        <f>IFERROR(_xlfn._xlws.SORTBY(_xlfn._xlws.FILTER('Master Schedule'!$H$6:$H$500,('Master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H8">
        <f>IFERROR(_xlfn._xlws.SORTBY(_xlfn._xlws.FILTER('Master Schedule'!$J$6:$J$500,('Master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I8">
        <f>IFERROR(_xlfn._xlws.SORTBY(_xlfn._xlws.FILTER('Master Schedule'!$AW$6:$AW$500,('Master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J8">
        <f>IFERROR(_xlfn._xlws.SORTBY(_xlfn._xlws.FILTER('Master Schedule'!$AX$6:$AX$500,('Master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K8">
        <f>IFERROR(_xlfn._xlws.SORTBY(_xlfn._xlws.FILTER('Master Schedule'!$AY$6:$AY$500,('Master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  <c r="L8">
        <f>IFERROR(_xlfn._xlws.SORTBY(_xlfn._xlws.FILTER('Master Schedule'!$AZ$6:$AZ$500,('Master Schedule'!$AW$6:$AW$500&lt;&gt;"Not Started")*('Master Schedule'!$A$6:$A$500&lt;&gt;"")),_xlfn._xlws.FILTER('Master Schedule'!$K$6:$K$500,('Master Schedule'!$AW$6:$AW$500&lt;&gt;"Not Started")*('Master Schedule'!$A$6:$A$500&lt;&gt;"")),1,_xlfn._xlws.FILTER('Master Schedule'!$H$6:$H$500,('Master Schedule'!$AW$6:$AW$500&lt;&gt;"Not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70C0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56" t="inlineStr">
        <is>
          <t>QUEUE — PAINT</t>
        </is>
      </c>
    </row>
    <row r="2" ht="16" customHeight="1">
      <c r="A2" s="57" t="inlineStr">
        <is>
          <t>Jobs in Queue</t>
        </is>
      </c>
      <c r="D2" s="57" t="inlineStr">
        <is>
          <t>Remaining Hrs</t>
        </is>
      </c>
      <c r="G2" s="57" t="inlineStr">
        <is>
          <t>Overdue</t>
        </is>
      </c>
      <c r="J2" s="57" t="inlineStr">
        <is>
          <t>Urgent</t>
        </is>
      </c>
    </row>
    <row r="3" ht="36" customHeight="1">
      <c r="A3" s="58">
        <f>SUMPRODUCT(('Master Schedule'!$BA$6:$BA$500&lt;&gt;"Not Started")*('Master Schedule'!$BA$6:$BA$500&lt;&gt;"Complete")*('Master Schedule'!$A$6:$A$500&lt;&gt;""))</f>
        <v/>
      </c>
      <c r="D3" s="58">
        <f>SUMPRODUCT(('Master Schedule'!$BA$6:$BA$500&lt;&gt;"Complete")*('Master Schedule'!$A$6:$A$500&lt;&gt;"")*'Master Schedule'!$BB$6:$BB$500)</f>
        <v/>
      </c>
      <c r="G3" s="58">
        <f>SUMPRODUCT(('Master Schedule'!$BA$6:$BA$500&lt;&gt;"Not Started")*('Master Schedule'!$BA$6:$BA$500&lt;&gt;"Complete")*('Master Schedule'!$J$6:$J$500&lt;0)*('Master Schedule'!$A$6:$A$500&lt;&gt;""))</f>
        <v/>
      </c>
      <c r="J3" s="58">
        <f>SUMPRODUCT(('Master Schedule'!$BA$6:$BA$500&lt;&gt;"Complete")*('Master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19" t="inlineStr">
        <is>
          <t>#</t>
        </is>
      </c>
      <c r="B7" s="19" t="inlineStr">
        <is>
          <t>Job ID</t>
        </is>
      </c>
      <c r="C7" s="19" t="inlineStr">
        <is>
          <t>Customer</t>
        </is>
      </c>
      <c r="D7" s="19" t="inlineStr">
        <is>
          <t>Product/Description</t>
        </is>
      </c>
      <c r="E7" s="19" t="inlineStr">
        <is>
          <t>Drawing Ref</t>
        </is>
      </c>
      <c r="F7" s="19" t="inlineStr">
        <is>
          <t>Job Priority</t>
        </is>
      </c>
      <c r="G7" s="19" t="inlineStr">
        <is>
          <t>Order Due Date</t>
        </is>
      </c>
      <c r="H7" s="19" t="inlineStr">
        <is>
          <t>Days Until Due</t>
        </is>
      </c>
      <c r="I7" s="19" t="inlineStr">
        <is>
          <t>Paint Status</t>
        </is>
      </c>
      <c r="J7" s="19" t="inlineStr">
        <is>
          <t>Paint Est Hrs</t>
        </is>
      </c>
      <c r="K7" s="19" t="inlineStr">
        <is>
          <t>Paint Operator</t>
        </is>
      </c>
      <c r="L7" s="19" t="inlineStr">
        <is>
          <t>Paint Notes</t>
        </is>
      </c>
    </row>
    <row r="8">
      <c r="A8">
        <f>IFERROR(_xlfn._xlws.SEQUENCE(ROWS(_xlfn._xlws.FILTER('Master Schedule'!$A$6:$A$500,('Master Schedule'!$BA$6:$BA$500&lt;&gt;"Not Started")*('Master Schedule'!$A$6:$A$500&lt;&gt;"")))),"")</f>
        <v/>
      </c>
      <c r="B8">
        <f>IFERROR(_xlfn._xlws.SORTBY(_xlfn._xlws.FILTER('Master Schedule'!$A$6:$A$500,('Master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C8">
        <f>IFERROR(_xlfn._xlws.SORTBY(_xlfn._xlws.FILTER('Master Schedule'!$B$6:$B$500,('Master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D8">
        <f>IFERROR(_xlfn._xlws.SORTBY(_xlfn._xlws.FILTER('Master Schedule'!$C$6:$C$500,('Master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E8">
        <f>IFERROR(_xlfn._xlws.SORTBY(_xlfn._xlws.FILTER('Master Schedule'!$E$6:$E$500,('Master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F8">
        <f>IFERROR(_xlfn._xlws.SORTBY(_xlfn._xlws.FILTER('Master Schedule'!$F$6:$F$500,('Master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G8">
        <f>IFERROR(_xlfn._xlws.SORTBY(_xlfn._xlws.FILTER('Master Schedule'!$H$6:$H$500,('Master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H8">
        <f>IFERROR(_xlfn._xlws.SORTBY(_xlfn._xlws.FILTER('Master Schedule'!$J$6:$J$500,('Master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I8">
        <f>IFERROR(_xlfn._xlws.SORTBY(_xlfn._xlws.FILTER('Master Schedule'!$BA$6:$BA$500,('Master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J8">
        <f>IFERROR(_xlfn._xlws.SORTBY(_xlfn._xlws.FILTER('Master Schedule'!$BB$6:$BB$500,('Master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K8">
        <f>IFERROR(_xlfn._xlws.SORTBY(_xlfn._xlws.FILTER('Master Schedule'!$BC$6:$BC$500,('Master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  <c r="L8">
        <f>IFERROR(_xlfn._xlws.SORTBY(_xlfn._xlws.FILTER('Master Schedule'!$BD$6:$BD$500,('Master Schedule'!$BA$6:$BA$500&lt;&gt;"Not Started")*('Master Schedule'!$A$6:$A$500&lt;&gt;"")),_xlfn._xlws.FILTER('Master Schedule'!$K$6:$K$500,('Master Schedule'!$BA$6:$BA$500&lt;&gt;"Not Started")*('Master Schedule'!$A$6:$A$500&lt;&gt;"")),1,_xlfn._xlws.FILTER('Master Schedule'!$H$6:$H$500,('Master Schedule'!$BA$6:$BA$500&lt;&gt;"Not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04040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59" t="inlineStr">
        <is>
          <t>QUEUE — ASSEMBLY 1</t>
        </is>
      </c>
    </row>
    <row r="2" ht="16" customHeight="1">
      <c r="A2" s="60" t="inlineStr">
        <is>
          <t>Jobs in Queue</t>
        </is>
      </c>
      <c r="D2" s="60" t="inlineStr">
        <is>
          <t>Remaining Hrs</t>
        </is>
      </c>
      <c r="G2" s="60" t="inlineStr">
        <is>
          <t>Overdue</t>
        </is>
      </c>
      <c r="J2" s="60" t="inlineStr">
        <is>
          <t>Urgent</t>
        </is>
      </c>
    </row>
    <row r="3" ht="36" customHeight="1">
      <c r="A3" s="61">
        <f>SUMPRODUCT(('Master Schedule'!$BE$6:$BE$500&lt;&gt;"Not Started")*('Master Schedule'!$BE$6:$BE$500&lt;&gt;"Complete")*('Master Schedule'!$A$6:$A$500&lt;&gt;""))</f>
        <v/>
      </c>
      <c r="D3" s="61">
        <f>SUMPRODUCT(('Master Schedule'!$BE$6:$BE$500&lt;&gt;"Complete")*('Master Schedule'!$A$6:$A$500&lt;&gt;"")*'Master Schedule'!$BF$6:$BF$500)</f>
        <v/>
      </c>
      <c r="G3" s="61">
        <f>SUMPRODUCT(('Master Schedule'!$BE$6:$BE$500&lt;&gt;"Not Started")*('Master Schedule'!$BE$6:$BE$500&lt;&gt;"Complete")*('Master Schedule'!$J$6:$J$500&lt;0)*('Master Schedule'!$A$6:$A$500&lt;&gt;""))</f>
        <v/>
      </c>
      <c r="J3" s="61">
        <f>SUMPRODUCT(('Master Schedule'!$BE$6:$BE$500&lt;&gt;"Complete")*('Master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20" t="inlineStr">
        <is>
          <t>#</t>
        </is>
      </c>
      <c r="B7" s="20" t="inlineStr">
        <is>
          <t>Job ID</t>
        </is>
      </c>
      <c r="C7" s="20" t="inlineStr">
        <is>
          <t>Customer</t>
        </is>
      </c>
      <c r="D7" s="20" t="inlineStr">
        <is>
          <t>Product/Description</t>
        </is>
      </c>
      <c r="E7" s="20" t="inlineStr">
        <is>
          <t>Drawing Ref</t>
        </is>
      </c>
      <c r="F7" s="20" t="inlineStr">
        <is>
          <t>Job Priority</t>
        </is>
      </c>
      <c r="G7" s="20" t="inlineStr">
        <is>
          <t>Order Due Date</t>
        </is>
      </c>
      <c r="H7" s="20" t="inlineStr">
        <is>
          <t>Days Until Due</t>
        </is>
      </c>
      <c r="I7" s="20" t="inlineStr">
        <is>
          <t>Assembly 1 Status</t>
        </is>
      </c>
      <c r="J7" s="20" t="inlineStr">
        <is>
          <t>Assembly 1 Est Hrs</t>
        </is>
      </c>
      <c r="K7" s="20" t="inlineStr">
        <is>
          <t>Assembly 1 Operator</t>
        </is>
      </c>
      <c r="L7" s="20" t="inlineStr">
        <is>
          <t>Assembly 1 Notes</t>
        </is>
      </c>
    </row>
    <row r="8">
      <c r="A8">
        <f>IFERROR(_xlfn._xlws.SEQUENCE(ROWS(_xlfn._xlws.FILTER('Master Schedule'!$A$6:$A$500,('Master Schedule'!$BE$6:$BE$500&lt;&gt;"Not Started")*('Master Schedule'!$A$6:$A$500&lt;&gt;"")))),"")</f>
        <v/>
      </c>
      <c r="B8">
        <f>IFERROR(_xlfn._xlws.SORTBY(_xlfn._xlws.FILTER('Master Schedule'!$A$6:$A$500,('Master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C8">
        <f>IFERROR(_xlfn._xlws.SORTBY(_xlfn._xlws.FILTER('Master Schedule'!$B$6:$B$500,('Master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D8">
        <f>IFERROR(_xlfn._xlws.SORTBY(_xlfn._xlws.FILTER('Master Schedule'!$C$6:$C$500,('Master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E8">
        <f>IFERROR(_xlfn._xlws.SORTBY(_xlfn._xlws.FILTER('Master Schedule'!$E$6:$E$500,('Master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F8">
        <f>IFERROR(_xlfn._xlws.SORTBY(_xlfn._xlws.FILTER('Master Schedule'!$F$6:$F$500,('Master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G8">
        <f>IFERROR(_xlfn._xlws.SORTBY(_xlfn._xlws.FILTER('Master Schedule'!$H$6:$H$500,('Master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H8">
        <f>IFERROR(_xlfn._xlws.SORTBY(_xlfn._xlws.FILTER('Master Schedule'!$J$6:$J$500,('Master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I8">
        <f>IFERROR(_xlfn._xlws.SORTBY(_xlfn._xlws.FILTER('Master Schedule'!$BE$6:$BE$500,('Master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J8">
        <f>IFERROR(_xlfn._xlws.SORTBY(_xlfn._xlws.FILTER('Master Schedule'!$BF$6:$BF$500,('Master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K8">
        <f>IFERROR(_xlfn._xlws.SORTBY(_xlfn._xlws.FILTER('Master Schedule'!$BG$6:$BG$500,('Master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  <c r="L8">
        <f>IFERROR(_xlfn._xlws.SORTBY(_xlfn._xlws.FILTER('Master Schedule'!$BH$6:$BH$500,('Master Schedule'!$BE$6:$BE$500&lt;&gt;"Not Started")*('Master Schedule'!$A$6:$A$500&lt;&gt;"")),_xlfn._xlws.FILTER('Master Schedule'!$K$6:$K$500,('Master Schedule'!$BE$6:$BE$500&lt;&gt;"Not Started")*('Master Schedule'!$A$6:$A$500&lt;&gt;"")),1,_xlfn._xlws.FILTER('Master Schedule'!$H$6:$H$500,('Master Schedule'!$BE$6:$BE$500&lt;&gt;"Not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04040"/>
    <outlinePr summaryBelow="1" summaryRight="1"/>
    <pageSetUpPr/>
  </sheetPr>
  <dimension ref="A1:L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8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4" customWidth="1" min="11" max="11"/>
    <col width="28" customWidth="1" min="12" max="12"/>
  </cols>
  <sheetData>
    <row r="1" ht="28" customHeight="1">
      <c r="A1" s="59" t="inlineStr">
        <is>
          <t>QUEUE — ASSEMBLY 2</t>
        </is>
      </c>
    </row>
    <row r="2" ht="16" customHeight="1">
      <c r="A2" s="60" t="inlineStr">
        <is>
          <t>Jobs in Queue</t>
        </is>
      </c>
      <c r="D2" s="60" t="inlineStr">
        <is>
          <t>Remaining Hrs</t>
        </is>
      </c>
      <c r="G2" s="60" t="inlineStr">
        <is>
          <t>Overdue</t>
        </is>
      </c>
      <c r="J2" s="60" t="inlineStr">
        <is>
          <t>Urgent</t>
        </is>
      </c>
    </row>
    <row r="3" ht="36" customHeight="1">
      <c r="A3" s="61">
        <f>SUMPRODUCT(('Master Schedule'!$BI$6:$BI$500&lt;&gt;"Not Started")*('Master Schedule'!$BI$6:$BI$500&lt;&gt;"Complete")*('Master Schedule'!$A$6:$A$500&lt;&gt;""))</f>
        <v/>
      </c>
      <c r="D3" s="61">
        <f>SUMPRODUCT(('Master Schedule'!$BI$6:$BI$500&lt;&gt;"Complete")*('Master Schedule'!$A$6:$A$500&lt;&gt;"")*'Master Schedule'!$BJ$6:$BJ$500)</f>
        <v/>
      </c>
      <c r="G3" s="61">
        <f>SUMPRODUCT(('Master Schedule'!$BI$6:$BI$500&lt;&gt;"Not Started")*('Master Schedule'!$BI$6:$BI$500&lt;&gt;"Complete")*('Master Schedule'!$J$6:$J$500&lt;0)*('Master Schedule'!$A$6:$A$500&lt;&gt;""))</f>
        <v/>
      </c>
      <c r="J3" s="61">
        <f>SUMPRODUCT(('Master Schedule'!$BI$6:$BI$500&lt;&gt;"Complete")*('Master Schedule'!$F$6:$F$500="Urgent")*('Master Schedule'!$A$6:$A$500&lt;&gt;""))</f>
        <v/>
      </c>
    </row>
    <row r="4" ht="6" customHeight="1"/>
    <row r="5" ht="6" customHeight="1"/>
    <row r="6" ht="6" customHeight="1"/>
    <row r="7" ht="20" customHeight="1">
      <c r="A7" s="20" t="inlineStr">
        <is>
          <t>#</t>
        </is>
      </c>
      <c r="B7" s="20" t="inlineStr">
        <is>
          <t>Job ID</t>
        </is>
      </c>
      <c r="C7" s="20" t="inlineStr">
        <is>
          <t>Customer</t>
        </is>
      </c>
      <c r="D7" s="20" t="inlineStr">
        <is>
          <t>Product/Description</t>
        </is>
      </c>
      <c r="E7" s="20" t="inlineStr">
        <is>
          <t>Drawing Ref</t>
        </is>
      </c>
      <c r="F7" s="20" t="inlineStr">
        <is>
          <t>Job Priority</t>
        </is>
      </c>
      <c r="G7" s="20" t="inlineStr">
        <is>
          <t>Order Due Date</t>
        </is>
      </c>
      <c r="H7" s="20" t="inlineStr">
        <is>
          <t>Days Until Due</t>
        </is>
      </c>
      <c r="I7" s="20" t="inlineStr">
        <is>
          <t>Assembly 2 Status</t>
        </is>
      </c>
      <c r="J7" s="20" t="inlineStr">
        <is>
          <t>Assembly 2 Est Hrs</t>
        </is>
      </c>
      <c r="K7" s="20" t="inlineStr">
        <is>
          <t>Assembly 2 Operator</t>
        </is>
      </c>
      <c r="L7" s="20" t="inlineStr">
        <is>
          <t>Assembly 2 Notes</t>
        </is>
      </c>
    </row>
    <row r="8">
      <c r="A8">
        <f>IFERROR(_xlfn._xlws.SEQUENCE(ROWS(_xlfn._xlws.FILTER('Master Schedule'!$A$6:$A$500,('Master Schedule'!$BI$6:$BI$500&lt;&gt;"Not Started")*('Master Schedule'!$A$6:$A$500&lt;&gt;"")))),"")</f>
        <v/>
      </c>
      <c r="B8">
        <f>IFERROR(_xlfn._xlws.SORTBY(_xlfn._xlws.FILTER('Master Schedule'!$A$6:$A$500,('Master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C8">
        <f>IFERROR(_xlfn._xlws.SORTBY(_xlfn._xlws.FILTER('Master Schedule'!$B$6:$B$500,('Master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D8">
        <f>IFERROR(_xlfn._xlws.SORTBY(_xlfn._xlws.FILTER('Master Schedule'!$C$6:$C$500,('Master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E8">
        <f>IFERROR(_xlfn._xlws.SORTBY(_xlfn._xlws.FILTER('Master Schedule'!$E$6:$E$500,('Master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F8">
        <f>IFERROR(_xlfn._xlws.SORTBY(_xlfn._xlws.FILTER('Master Schedule'!$F$6:$F$500,('Master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G8">
        <f>IFERROR(_xlfn._xlws.SORTBY(_xlfn._xlws.FILTER('Master Schedule'!$H$6:$H$500,('Master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H8">
        <f>IFERROR(_xlfn._xlws.SORTBY(_xlfn._xlws.FILTER('Master Schedule'!$J$6:$J$500,('Master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I8">
        <f>IFERROR(_xlfn._xlws.SORTBY(_xlfn._xlws.FILTER('Master Schedule'!$BI$6:$BI$500,('Master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J8">
        <f>IFERROR(_xlfn._xlws.SORTBY(_xlfn._xlws.FILTER('Master Schedule'!$BJ$6:$BJ$500,('Master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K8">
        <f>IFERROR(_xlfn._xlws.SORTBY(_xlfn._xlws.FILTER('Master Schedule'!$BK$6:$BK$500,('Master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  <c r="L8">
        <f>IFERROR(_xlfn._xlws.SORTBY(_xlfn._xlws.FILTER('Master Schedule'!$BL$6:$BL$500,('Master Schedule'!$BI$6:$BI$500&lt;&gt;"Not Started")*('Master Schedule'!$A$6:$A$500&lt;&gt;"")),_xlfn._xlws.FILTER('Master Schedule'!$K$6:$K$500,('Master Schedule'!$BI$6:$BI$500&lt;&gt;"Not Started")*('Master Schedule'!$A$6:$A$500&lt;&gt;"")),1,_xlfn._xlws.FILTER('Master Schedule'!$H$6:$H$500,('Master Schedule'!$BI$6:$BI$500&lt;&gt;"Not Started")*('Master Schedule'!$A$6:$A$500&lt;&gt;"")),1),"")</f>
        <v/>
      </c>
    </row>
  </sheetData>
  <mergeCells count="9">
    <mergeCell ref="D2:F2"/>
    <mergeCell ref="G2:I2"/>
    <mergeCell ref="J2:L2"/>
    <mergeCell ref="A1:L1"/>
    <mergeCell ref="D3:F3"/>
    <mergeCell ref="A3:C3"/>
    <mergeCell ref="G3:I3"/>
    <mergeCell ref="J3:L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2026-02-21T20:26:05Z</dcterms:created>
  <dcterms:modified xmlns:dcterms="http://purl.org/dc/terms/" xmlns:xsi="http://www.w3.org/2001/XMLSchema-instance" xsi:type="dcterms:W3CDTF">2026-02-21T20:26:05Z</dcterms:modified>
</cp:coreProperties>
</file>